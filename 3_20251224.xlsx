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A7E4A25F-050D-4BF8-A8A4-27E53FEF259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武将" sheetId="1" r:id="rId1"/>
    <sheet name="武将複数" sheetId="15" r:id="rId2"/>
    <sheet name="Sheet3" sheetId="5" r:id="rId3"/>
    <sheet name="Sheet5" sheetId="9" r:id="rId4"/>
    <sheet name="すえいまひな" sheetId="7" r:id="rId5"/>
    <sheet name="神A盛倉 (2)" sheetId="14" r:id="rId6"/>
    <sheet name="神A盛倉" sheetId="6" r:id="rId7"/>
    <sheet name="Sheet2" sheetId="4" r:id="rId8"/>
    <sheet name="あらともてつ" sheetId="10" r:id="rId9"/>
    <sheet name="あら中斗" sheetId="13" r:id="rId10"/>
    <sheet name="青ナギ" sheetId="12" r:id="rId11"/>
    <sheet name="集結" sheetId="16" r:id="rId12"/>
    <sheet name="Sheet4" sheetId="20" r:id="rId13"/>
    <sheet name="毘斗" sheetId="17" r:id="rId14"/>
    <sheet name="あら哲hisa" sheetId="18" r:id="rId15"/>
    <sheet name="斗毘A" sheetId="19" r:id="rId16"/>
    <sheet name="陣法" sheetId="2" state="hidden" r:id="rId17"/>
    <sheet name="Sheet1" sheetId="3" state="hidden" r:id="rId18"/>
  </sheets>
  <definedNames>
    <definedName name="_xlnm._FilterDatabase" localSheetId="0" hidden="1">武将!$A$2:$V$112</definedName>
    <definedName name="_xlnm._FilterDatabase" localSheetId="1" hidden="1">武将複数!$A$2:$Y$117</definedName>
    <definedName name="_xlnm.Print_Area" localSheetId="14">あら哲hisa!$A$1:$X$31</definedName>
    <definedName name="_xlnm.Print_Area" localSheetId="11">集結!$A$59:$X$76</definedName>
    <definedName name="_xlnm.Print_Area" localSheetId="13">毘斗!$A$1:$AD$20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5MKpu5ARJa16JLut4oIXNPiGYVXf9lugwjDbb3FQO88="/>
    </ext>
  </extLst>
</workbook>
</file>

<file path=xl/calcChain.xml><?xml version="1.0" encoding="utf-8"?>
<calcChain xmlns="http://schemas.openxmlformats.org/spreadsheetml/2006/main">
  <c r="K121" i="15" l="1"/>
  <c r="J121" i="15"/>
  <c r="I121" i="15"/>
  <c r="H121" i="15"/>
  <c r="G121" i="15"/>
  <c r="F121" i="15"/>
  <c r="K120" i="15"/>
  <c r="J120" i="15"/>
  <c r="I120" i="15"/>
  <c r="H120" i="15"/>
  <c r="G120" i="15"/>
  <c r="F120" i="15"/>
  <c r="K119" i="15"/>
  <c r="J119" i="15"/>
  <c r="I119" i="15"/>
  <c r="H119" i="15"/>
  <c r="G119" i="15"/>
  <c r="F119" i="15"/>
  <c r="J116" i="15"/>
  <c r="J117" i="15" s="1"/>
  <c r="I116" i="15"/>
  <c r="G116" i="15"/>
  <c r="G117" i="15" s="1"/>
  <c r="F116" i="15"/>
  <c r="AB112" i="15"/>
  <c r="I84" i="15"/>
  <c r="F84" i="15"/>
  <c r="I72" i="15"/>
  <c r="F72" i="15"/>
  <c r="E62" i="15"/>
  <c r="I50" i="15"/>
  <c r="F50" i="15"/>
  <c r="E25" i="15"/>
  <c r="I24" i="15"/>
  <c r="F24" i="15"/>
  <c r="E16" i="15"/>
  <c r="E11" i="15"/>
  <c r="E5" i="15"/>
  <c r="E116" i="1"/>
  <c r="Y107" i="1"/>
  <c r="G115" i="1"/>
  <c r="F115" i="1"/>
  <c r="F114" i="1"/>
  <c r="F111" i="1"/>
  <c r="J114" i="1"/>
  <c r="J115" i="1"/>
  <c r="J116" i="1"/>
  <c r="I114" i="1"/>
  <c r="I115" i="1"/>
  <c r="I116" i="1"/>
  <c r="H114" i="1"/>
  <c r="H115" i="1"/>
  <c r="H116" i="1"/>
  <c r="G114" i="1"/>
  <c r="G116" i="1"/>
  <c r="F116" i="1"/>
  <c r="E114" i="1"/>
  <c r="E115" i="1"/>
  <c r="I111" i="1"/>
  <c r="H24" i="1"/>
  <c r="H47" i="1"/>
  <c r="H68" i="1"/>
  <c r="H80" i="1"/>
  <c r="H111" i="1"/>
  <c r="E24" i="1"/>
  <c r="E47" i="1"/>
  <c r="E68" i="1"/>
  <c r="E80" i="1"/>
  <c r="E111" i="1"/>
  <c r="D59" i="1"/>
  <c r="D25" i="1"/>
  <c r="D16" i="1"/>
  <c r="D11" i="1"/>
  <c r="D5" i="1"/>
  <c r="H122" i="15" l="1"/>
  <c r="K122" i="15"/>
  <c r="I117" i="15"/>
  <c r="F122" i="15"/>
  <c r="J122" i="15"/>
  <c r="I122" i="15"/>
  <c r="G122" i="15"/>
  <c r="F117" i="15"/>
  <c r="E117" i="1"/>
  <c r="H117" i="1"/>
  <c r="H112" i="1"/>
  <c r="E112" i="1"/>
  <c r="J117" i="1"/>
  <c r="I112" i="1"/>
  <c r="I117" i="1"/>
  <c r="F112" i="1"/>
  <c r="F117" i="1"/>
  <c r="G117" i="1"/>
</calcChain>
</file>

<file path=xl/sharedStrings.xml><?xml version="1.0" encoding="utf-8"?>
<sst xmlns="http://schemas.openxmlformats.org/spreadsheetml/2006/main" count="6645" uniqueCount="609">
  <si>
    <t>武将一覧</t>
  </si>
  <si>
    <t>主陣</t>
  </si>
  <si>
    <t>角陣</t>
  </si>
  <si>
    <t>馬・武将スキル</t>
  </si>
  <si>
    <t>備考</t>
  </si>
  <si>
    <t>兵種</t>
  </si>
  <si>
    <t>武将</t>
  </si>
  <si>
    <t>配置</t>
  </si>
  <si>
    <t>上限</t>
  </si>
  <si>
    <t>紫苑</t>
  </si>
  <si>
    <t>スヌ</t>
  </si>
  <si>
    <t>歩兵</t>
  </si>
  <si>
    <t>玄孫堅</t>
  </si>
  <si>
    <t>統率</t>
  </si>
  <si>
    <t>○</t>
  </si>
  <si>
    <t>ー</t>
  </si>
  <si>
    <t>貫通抵抗20%増（上限60%）</t>
  </si>
  <si>
    <t>玄孫権</t>
  </si>
  <si>
    <t>連撃20%減（上限50%・共有）</t>
  </si>
  <si>
    <t>玄孫策</t>
  </si>
  <si>
    <t>連撃歩比率×40%増（上限50%）</t>
  </si>
  <si>
    <t>司馬昭</t>
  </si>
  <si>
    <t>知性</t>
  </si>
  <si>
    <t>ダメ10%反射（上限30%）</t>
  </si>
  <si>
    <t>玄鄧艾</t>
  </si>
  <si>
    <t>ダメ部隊100%増（上限25%）</t>
  </si>
  <si>
    <t>李典</t>
  </si>
  <si>
    <t>武力</t>
  </si>
  <si>
    <t>抑制40%増（上限80%）</t>
  </si>
  <si>
    <t>満龍</t>
  </si>
  <si>
    <t>抑制40%減（上限80%）、貫通20%減（上限50%）</t>
  </si>
  <si>
    <t>関羽</t>
  </si>
  <si>
    <t>玄龐徳</t>
  </si>
  <si>
    <t>貫通歩比率×40%増（上限50%）</t>
  </si>
  <si>
    <t>真田幸村</t>
  </si>
  <si>
    <t>追加ダメ比率歩部隊数×2%（上限15%）</t>
  </si>
  <si>
    <t>玄大喬</t>
  </si>
  <si>
    <t>ダメ15%減（累加不可）、最終抵抗1%高×0.5減（上限25%・上限累加可、1スキル上限10%）</t>
  </si>
  <si>
    <t>曹仁</t>
  </si>
  <si>
    <t>抵抗歩部隊数×4%減（上限80%・共有）</t>
  </si>
  <si>
    <t>玄許褚</t>
  </si>
  <si>
    <t>ダメ15%減（累加不可）</t>
  </si>
  <si>
    <t>賈逵</t>
  </si>
  <si>
    <t>実ダメ歩比率×50%減（上限30%）</t>
  </si>
  <si>
    <t>玄荀攸</t>
  </si>
  <si>
    <t>麹義</t>
  </si>
  <si>
    <t>敵抑制大時・被抑制12%増（味方抑制大時・抑制12%増）（累加不可）、武府連撃大/抵抗大/連抗同・連撃20%/抵抗20%/連撃10%抵抗10%増（上限25%）、【装備】防御6%増（上限12%）</t>
  </si>
  <si>
    <t>姜維</t>
  </si>
  <si>
    <t>楽進</t>
  </si>
  <si>
    <t>小計</t>
  </si>
  <si>
    <t>馬兵</t>
  </si>
  <si>
    <t>玄張飛</t>
  </si>
  <si>
    <t>抵抗馬比率×40%増（上限50%）</t>
  </si>
  <si>
    <t>関平</t>
  </si>
  <si>
    <t>連撃馬部隊数×5%減（上限50%・共有）</t>
  </si>
  <si>
    <t>文醜</t>
  </si>
  <si>
    <t>抑制40%減（上限80%）</t>
  </si>
  <si>
    <t>玄公孫瓚</t>
  </si>
  <si>
    <t>抵抗20%減（上限50%・非共有）</t>
  </si>
  <si>
    <t>張寧姫</t>
  </si>
  <si>
    <t>連撃20%増（上限60%）</t>
  </si>
  <si>
    <t>玄司馬懿</t>
  </si>
  <si>
    <t>ダメ味方兵比率×20増、ダメ敵方兵比率×20減（上限25%増、10%減）</t>
  </si>
  <si>
    <t>玄郭嘉</t>
  </si>
  <si>
    <t>兵20%増（上限30%）</t>
  </si>
  <si>
    <t>夏侯惇</t>
  </si>
  <si>
    <t>追加ダメ損失兵×60%増（上限ダメ20%）</t>
  </si>
  <si>
    <t>武田信玄</t>
  </si>
  <si>
    <t>貫通集結馬部隊数×1.5%増（上限15%）</t>
  </si>
  <si>
    <t>閻行</t>
  </si>
  <si>
    <t>貫通抵抗10%増（上限30%）</t>
  </si>
  <si>
    <t>玄賈詡</t>
  </si>
  <si>
    <t>実ダメ25%減（上限40%）、兵50%未満時・実ダメ15%減（上限25%）</t>
  </si>
  <si>
    <t>王双</t>
  </si>
  <si>
    <t>抵抗10%減・10%増（上限30%、馬スキル時上限15%、典韋・曹仁の80%・共有）</t>
  </si>
  <si>
    <t>玄馬雲騄</t>
  </si>
  <si>
    <t>貫通抵抗15%減（上限40%）、実ダメ10%増（累加不可）</t>
  </si>
  <si>
    <t>玄馬超</t>
  </si>
  <si>
    <t>最終ダメ20%増（累加不可）、速度が敵より大5%増</t>
  </si>
  <si>
    <t>曹洪</t>
  </si>
  <si>
    <t>味方貫通10%増・敵10%減（上限20%）、【装備】連撃5%増（上限10%）</t>
  </si>
  <si>
    <t>夏侯玄</t>
  </si>
  <si>
    <t>シールド敵より大・次交戦ダメ10％減（累加不可）、敵貫通15%減（累加不可）、所在馬敵防御力8%減（上限16%）【装備】抵抗基礎速度×15%（累加不可）</t>
  </si>
  <si>
    <t>審配</t>
  </si>
  <si>
    <t>攻撃力×15%増（上限25%）、兵種比率20%毎抑制5%増（累加不可）、シールド5%増（上限10%）</t>
  </si>
  <si>
    <t>于禁</t>
  </si>
  <si>
    <t>臧覇</t>
  </si>
  <si>
    <t>基礎貫通抵抗10%馬増</t>
  </si>
  <si>
    <t>馬超</t>
  </si>
  <si>
    <t>弓兵</t>
  </si>
  <si>
    <t>蔣欽</t>
  </si>
  <si>
    <t>呉国太</t>
  </si>
  <si>
    <t>玄孫尚香</t>
  </si>
  <si>
    <t>抵抗15%+弓配置10%増（上限40%）</t>
  </si>
  <si>
    <t>龐統</t>
  </si>
  <si>
    <t>敵兵10%移動（上限10%）、追加ダメ敵非参戦数×100%（ダメ上限20%）</t>
  </si>
  <si>
    <t>玄陸遜</t>
  </si>
  <si>
    <t>ダメ20%減（累加不可）</t>
  </si>
  <si>
    <t>陸遜</t>
  </si>
  <si>
    <t>追加ダメ35%確率5%増（上限10%）</t>
  </si>
  <si>
    <t>織田信長</t>
  </si>
  <si>
    <t>兵数1%多で連撃1%増（下限10%、上限20%）</t>
  </si>
  <si>
    <t>玄貂蝉</t>
  </si>
  <si>
    <t>ダメ男武将比率×0.2減（上限20%）</t>
  </si>
  <si>
    <t>玄呂布</t>
  </si>
  <si>
    <t>玄徐庶</t>
  </si>
  <si>
    <t>ダメ15%増（累加不可）、最終連撃1%高×0.5増（上限25%・上限累加可、1スキル上限10%）</t>
  </si>
  <si>
    <t>玄夏侯淵</t>
  </si>
  <si>
    <t>貫通抵抗弓比率×40%増（上限50%）</t>
  </si>
  <si>
    <t>玄小喬</t>
  </si>
  <si>
    <t>貫通20%減（上限40%）</t>
  </si>
  <si>
    <t>周瑜</t>
  </si>
  <si>
    <t>玄祝融</t>
  </si>
  <si>
    <t>玄程昱</t>
  </si>
  <si>
    <t>実ダメ15%増（上限20％）、確率75%実ダメ10％増（累加不可）、【装備】攻撃力6%増（上限12%）</t>
  </si>
  <si>
    <t>荀攸</t>
  </si>
  <si>
    <t>歩練師</t>
  </si>
  <si>
    <t>貫通10%増（上限30%）</t>
  </si>
  <si>
    <t>戦車</t>
  </si>
  <si>
    <t>張宝</t>
  </si>
  <si>
    <t>支援率20%増</t>
  </si>
  <si>
    <t>玄董卓</t>
  </si>
  <si>
    <t>貫通20%増（上限40%）</t>
  </si>
  <si>
    <t>黄月英</t>
  </si>
  <si>
    <t>連撃10%増（上限30%）</t>
  </si>
  <si>
    <t>玄陳宮</t>
  </si>
  <si>
    <t>支援率10%増（上限20%）</t>
  </si>
  <si>
    <t>玄曹植</t>
  </si>
  <si>
    <t>シールド10%増（上限30%）</t>
  </si>
  <si>
    <t>呂蒙</t>
  </si>
  <si>
    <t>ダメ20%×味方/敵攻城値（上限40%）</t>
  </si>
  <si>
    <t>玄廖化</t>
  </si>
  <si>
    <t>馬鈞</t>
  </si>
  <si>
    <t>抵抗20%増（上限40%）、ダメ損失比率×10%減（上限30%）</t>
  </si>
  <si>
    <t>共通</t>
  </si>
  <si>
    <t>諸葛亮</t>
  </si>
  <si>
    <t>玄諸葛亮</t>
  </si>
  <si>
    <t>張遼</t>
  </si>
  <si>
    <t>味方貫通10%増・敵10%減（上限30%）</t>
  </si>
  <si>
    <t>玄張角</t>
  </si>
  <si>
    <t>玄曹操</t>
  </si>
  <si>
    <t>抑制10%減・プレイヤー数差×20%減</t>
  </si>
  <si>
    <t>司馬炎</t>
  </si>
  <si>
    <t>1属性15%増（上限50%）</t>
  </si>
  <si>
    <t>曹真</t>
  </si>
  <si>
    <t>抵抗20%増（上限60%）</t>
  </si>
  <si>
    <t>玄徐晃</t>
  </si>
  <si>
    <t>貫通20%減（上限50%）</t>
  </si>
  <si>
    <t>皇甫嵩</t>
  </si>
  <si>
    <t>貫通/シールド20%増（上限50%）</t>
  </si>
  <si>
    <t>玄趙雲</t>
  </si>
  <si>
    <t>連撃馬比率×20%増、抵抗歩比率×20%増（上限30%）、【装備】実ダメ歩比率×8%増、実ダメ馬比率×8%減（上限5%）</t>
  </si>
  <si>
    <t>司馬師</t>
  </si>
  <si>
    <t>味方連撃10%増・敵10%減（上限30%）</t>
  </si>
  <si>
    <t>玄周瑜</t>
  </si>
  <si>
    <t>王允</t>
  </si>
  <si>
    <t>呂布</t>
  </si>
  <si>
    <t>ダメ(プレイヤー数差+1)×10%増（累加不可）</t>
  </si>
  <si>
    <t>玄関羽</t>
  </si>
  <si>
    <t>実ダメ15%増（累加不可）</t>
  </si>
  <si>
    <t>于吉</t>
  </si>
  <si>
    <t>スキル増益10%増、スキル減益10%減（上限20%）</t>
  </si>
  <si>
    <t>玄荀彧</t>
  </si>
  <si>
    <t>連撃20%増（上限30%）</t>
  </si>
  <si>
    <t>玄呂蒙</t>
  </si>
  <si>
    <t>武力/知性</t>
  </si>
  <si>
    <t>抵抗20%増（上限30%）、実ダメ6%増／減（上限10%）</t>
  </si>
  <si>
    <t>司馬懿</t>
  </si>
  <si>
    <t>連撃(プレイヤー数差+1)×10%増（上限50%）</t>
  </si>
  <si>
    <t>管路</t>
  </si>
  <si>
    <t>抵抗(プレイヤー数差+1)×10%増（上限50%）</t>
  </si>
  <si>
    <t>玄甘寧</t>
  </si>
  <si>
    <t>ダメ歩比率×20%増、弓比率×20%減（上限25%）</t>
  </si>
  <si>
    <t>玄太史慈</t>
  </si>
  <si>
    <t>玄張郃</t>
  </si>
  <si>
    <t>馬岱</t>
  </si>
  <si>
    <t>華佗</t>
  </si>
  <si>
    <t>実ダメ10%減（上限10%）</t>
  </si>
  <si>
    <t>左慈</t>
  </si>
  <si>
    <t>玄魏延</t>
  </si>
  <si>
    <t>貫通12%減（累加不可）</t>
  </si>
  <si>
    <t>典韋</t>
  </si>
  <si>
    <t>抵抗35%減（上限80%・共有）</t>
  </si>
  <si>
    <t>合計</t>
  </si>
  <si>
    <t>謙信</t>
    <rPh sb="0" eb="2">
      <t>ケンシン</t>
    </rPh>
    <phoneticPr fontId="9"/>
  </si>
  <si>
    <t>主陣ダメ15%増（累加不可）、角陣ダメ15%増（上限30%）、【装備】戦車基礎軍紀×20%増</t>
    <rPh sb="40" eb="41">
      <t>キ</t>
    </rPh>
    <phoneticPr fontId="9"/>
  </si>
  <si>
    <t>敵実ダメ15%反射（累加不可）、連撃8%増（累加不可）、【装備】集結陣内基礎軍紀10%増（上限無し）</t>
    <rPh sb="39" eb="40">
      <t>キ</t>
    </rPh>
    <phoneticPr fontId="9"/>
  </si>
  <si>
    <t>防御力×15%増（上限25%）、兵種比率20%毎敵抑制5%減（累加不可）、戦時軍紀5%増（上限10%）、【装備】敵貫通抵抗5%減（累加不可）</t>
    <phoneticPr fontId="9"/>
  </si>
  <si>
    <t>被抑制10%減・プレイヤー数差×20%減、ダメ5%減・5%増（累加不可）</t>
    <phoneticPr fontId="9"/>
  </si>
  <si>
    <t>兵種比率20%毎抵抗4%増（累加不可）、戦時軍紀15%増（上限25%）【装備】敵の参戦可能兵士5%が味方にダメージ与えられない（累加不可）</t>
    <phoneticPr fontId="9"/>
  </si>
  <si>
    <t>地載陣</t>
    <phoneticPr fontId="9"/>
  </si>
  <si>
    <t>風揚陣</t>
    <phoneticPr fontId="9"/>
  </si>
  <si>
    <t>雲垂陣</t>
    <phoneticPr fontId="9"/>
  </si>
  <si>
    <t>透敵防衛</t>
    <phoneticPr fontId="9"/>
  </si>
  <si>
    <t>貫通／防御</t>
    <phoneticPr fontId="9"/>
  </si>
  <si>
    <t>抵敵攻撃</t>
    <rPh sb="0" eb="1">
      <t>テイ</t>
    </rPh>
    <rPh sb="1" eb="2">
      <t>テキ</t>
    </rPh>
    <rPh sb="2" eb="4">
      <t>コウゲキ</t>
    </rPh>
    <phoneticPr fontId="9"/>
  </si>
  <si>
    <t>抵抗／攻撃</t>
    <rPh sb="0" eb="2">
      <t>テイコウ</t>
    </rPh>
    <rPh sb="3" eb="5">
      <t>コウゲキ</t>
    </rPh>
    <phoneticPr fontId="9"/>
  </si>
  <si>
    <t>堅壁頑抗</t>
    <rPh sb="0" eb="1">
      <t>ケン</t>
    </rPh>
    <rPh sb="1" eb="2">
      <t>カベ</t>
    </rPh>
    <rPh sb="2" eb="3">
      <t>ガン</t>
    </rPh>
    <rPh sb="3" eb="4">
      <t>コウ</t>
    </rPh>
    <phoneticPr fontId="9"/>
  </si>
  <si>
    <t>抵抗／シールド</t>
    <rPh sb="0" eb="2">
      <t>テイコウ</t>
    </rPh>
    <phoneticPr fontId="9"/>
  </si>
  <si>
    <t>連撃／シールド</t>
    <rPh sb="0" eb="2">
      <t>レンゲキ</t>
    </rPh>
    <phoneticPr fontId="9"/>
  </si>
  <si>
    <t>盾守連攻</t>
    <rPh sb="0" eb="1">
      <t>タテ</t>
    </rPh>
    <rPh sb="1" eb="4">
      <t>マモル</t>
    </rPh>
    <phoneticPr fontId="9"/>
  </si>
  <si>
    <t>陣</t>
    <rPh sb="0" eb="1">
      <t>ジン</t>
    </rPh>
    <phoneticPr fontId="9"/>
  </si>
  <si>
    <t>陣法</t>
    <rPh sb="0" eb="1">
      <t>ジン</t>
    </rPh>
    <rPh sb="1" eb="2">
      <t>ホウ</t>
    </rPh>
    <phoneticPr fontId="9"/>
  </si>
  <si>
    <t>奇策</t>
    <rPh sb="0" eb="2">
      <t>キサク</t>
    </rPh>
    <phoneticPr fontId="9"/>
  </si>
  <si>
    <t>奇攻策</t>
    <rPh sb="0" eb="1">
      <t>キ</t>
    </rPh>
    <rPh sb="1" eb="2">
      <t>コウ</t>
    </rPh>
    <rPh sb="2" eb="3">
      <t>サク</t>
    </rPh>
    <phoneticPr fontId="9"/>
  </si>
  <si>
    <t>墨守策</t>
    <rPh sb="0" eb="2">
      <t>ボクシュ</t>
    </rPh>
    <rPh sb="2" eb="3">
      <t>サク</t>
    </rPh>
    <phoneticPr fontId="9"/>
  </si>
  <si>
    <t>畳撃作</t>
    <rPh sb="0" eb="2">
      <t>ジョウゲキ</t>
    </rPh>
    <rPh sb="2" eb="3">
      <t>サク</t>
    </rPh>
    <phoneticPr fontId="9"/>
  </si>
  <si>
    <t>固抗策</t>
    <rPh sb="0" eb="1">
      <t>コ</t>
    </rPh>
    <rPh sb="1" eb="2">
      <t>コウ</t>
    </rPh>
    <rPh sb="2" eb="3">
      <t>サク</t>
    </rPh>
    <phoneticPr fontId="9"/>
  </si>
  <si>
    <t>堅盾策</t>
    <rPh sb="0" eb="1">
      <t>ケン</t>
    </rPh>
    <rPh sb="1" eb="2">
      <t>タテ</t>
    </rPh>
    <rPh sb="2" eb="3">
      <t>サク</t>
    </rPh>
    <phoneticPr fontId="9"/>
  </si>
  <si>
    <t>全貫策</t>
    <rPh sb="0" eb="1">
      <t>ゼン</t>
    </rPh>
    <rPh sb="1" eb="3">
      <t>ヌキサク</t>
    </rPh>
    <phoneticPr fontId="9"/>
  </si>
  <si>
    <t>四武衝陣</t>
    <rPh sb="0" eb="1">
      <t>シ</t>
    </rPh>
    <rPh sb="1" eb="2">
      <t>タケシ</t>
    </rPh>
    <rPh sb="2" eb="3">
      <t>ショウ</t>
    </rPh>
    <rPh sb="3" eb="4">
      <t>ジン</t>
    </rPh>
    <phoneticPr fontId="9"/>
  </si>
  <si>
    <t>両儀攻守</t>
    <rPh sb="0" eb="1">
      <t>リョウ</t>
    </rPh>
    <rPh sb="1" eb="2">
      <t>ギ</t>
    </rPh>
    <rPh sb="2" eb="4">
      <t>コウシュ</t>
    </rPh>
    <phoneticPr fontId="9"/>
  </si>
  <si>
    <t>両儀貫盾</t>
    <rPh sb="0" eb="2">
      <t>リョウギ</t>
    </rPh>
    <rPh sb="2" eb="4">
      <t>ヌキタテ</t>
    </rPh>
    <phoneticPr fontId="9"/>
  </si>
  <si>
    <t>両儀連抗</t>
    <rPh sb="0" eb="2">
      <t>リョウギ</t>
    </rPh>
    <rPh sb="2" eb="3">
      <t>レン</t>
    </rPh>
    <rPh sb="3" eb="4">
      <t>コウ</t>
    </rPh>
    <phoneticPr fontId="9"/>
  </si>
  <si>
    <t>斗転星移</t>
    <rPh sb="0" eb="1">
      <t>ト</t>
    </rPh>
    <rPh sb="1" eb="2">
      <t>テン</t>
    </rPh>
    <rPh sb="2" eb="3">
      <t>ホシ</t>
    </rPh>
    <rPh sb="3" eb="4">
      <t>イ</t>
    </rPh>
    <phoneticPr fontId="9"/>
  </si>
  <si>
    <t>太虚換形</t>
    <rPh sb="0" eb="2">
      <t>タイキョ</t>
    </rPh>
    <rPh sb="2" eb="3">
      <t>カン</t>
    </rPh>
    <rPh sb="3" eb="4">
      <t>カタチ</t>
    </rPh>
    <phoneticPr fontId="9"/>
  </si>
  <si>
    <t>奇攻化勢</t>
    <rPh sb="0" eb="1">
      <t>キ</t>
    </rPh>
    <rPh sb="1" eb="2">
      <t>コウ</t>
    </rPh>
    <rPh sb="2" eb="3">
      <t>カ</t>
    </rPh>
    <rPh sb="3" eb="4">
      <t>ゼイ</t>
    </rPh>
    <phoneticPr fontId="9"/>
  </si>
  <si>
    <t>墨守化勢</t>
    <rPh sb="0" eb="2">
      <t>ボクシュ</t>
    </rPh>
    <rPh sb="2" eb="3">
      <t>カ</t>
    </rPh>
    <rPh sb="3" eb="4">
      <t>ゼイ</t>
    </rPh>
    <phoneticPr fontId="9"/>
  </si>
  <si>
    <t>蔵星納海</t>
    <rPh sb="0" eb="2">
      <t>クラホシ</t>
    </rPh>
    <rPh sb="2" eb="3">
      <t>ナン</t>
    </rPh>
    <rPh sb="3" eb="4">
      <t>ウミ</t>
    </rPh>
    <phoneticPr fontId="9"/>
  </si>
  <si>
    <t>奇策名</t>
    <rPh sb="0" eb="2">
      <t>キサク</t>
    </rPh>
    <rPh sb="2" eb="3">
      <t>メイ</t>
    </rPh>
    <phoneticPr fontId="9"/>
  </si>
  <si>
    <t>基礎奇策</t>
    <rPh sb="0" eb="2">
      <t>キソ</t>
    </rPh>
    <rPh sb="2" eb="4">
      <t>キサク</t>
    </rPh>
    <phoneticPr fontId="9"/>
  </si>
  <si>
    <t>奇策合成1</t>
    <rPh sb="0" eb="2">
      <t>キサク</t>
    </rPh>
    <rPh sb="2" eb="4">
      <t>ゴウセイ</t>
    </rPh>
    <phoneticPr fontId="9"/>
  </si>
  <si>
    <t>攻撃 X1%</t>
    <rPh sb="0" eb="2">
      <t>コウゲキ</t>
    </rPh>
    <phoneticPr fontId="9"/>
  </si>
  <si>
    <t>防御 X1%</t>
    <rPh sb="0" eb="2">
      <t>ボウギョ</t>
    </rPh>
    <phoneticPr fontId="9"/>
  </si>
  <si>
    <t>連撃 X1%</t>
    <rPh sb="0" eb="2">
      <t>レンゲキ</t>
    </rPh>
    <phoneticPr fontId="9"/>
  </si>
  <si>
    <t>抵抗 X1%</t>
    <rPh sb="0" eb="2">
      <t>テイコウ</t>
    </rPh>
    <phoneticPr fontId="9"/>
  </si>
  <si>
    <t>シールド X1%</t>
    <phoneticPr fontId="9"/>
  </si>
  <si>
    <t>貫通 X1%</t>
    <rPh sb="0" eb="2">
      <t>カンツウ</t>
    </rPh>
    <phoneticPr fontId="9"/>
  </si>
  <si>
    <t>攻撃or防御 X1.5%</t>
    <rPh sb="0" eb="2">
      <t>コウゲキ</t>
    </rPh>
    <rPh sb="4" eb="6">
      <t>ボウギョ</t>
    </rPh>
    <phoneticPr fontId="9"/>
  </si>
  <si>
    <t>貫通orシールド X1.5%</t>
    <rPh sb="0" eb="2">
      <t>カンツウ</t>
    </rPh>
    <phoneticPr fontId="9"/>
  </si>
  <si>
    <t>連撃o抵抗 X1.5%</t>
    <rPh sb="0" eb="2">
      <t>レンゲキ</t>
    </rPh>
    <rPh sb="3" eb="5">
      <t>テイコウ</t>
    </rPh>
    <phoneticPr fontId="9"/>
  </si>
  <si>
    <t>追加ダメージ 損失兵士数X1.5%</t>
    <rPh sb="0" eb="2">
      <t>ツイカ</t>
    </rPh>
    <rPh sb="7" eb="11">
      <t>ソンシツヘイシ</t>
    </rPh>
    <rPh sb="11" eb="12">
      <t>スウ</t>
    </rPh>
    <phoneticPr fontId="9"/>
  </si>
  <si>
    <t>追加ダメージ 受けたダメージX1.5%</t>
    <rPh sb="0" eb="2">
      <t>ツイカ</t>
    </rPh>
    <rPh sb="7" eb="8">
      <t>ウ</t>
    </rPh>
    <phoneticPr fontId="9"/>
  </si>
  <si>
    <t>攻撃 X1.5%, 敵攻撃1%低下</t>
    <rPh sb="0" eb="2">
      <t>コウゲキ</t>
    </rPh>
    <rPh sb="10" eb="11">
      <t>テキ</t>
    </rPh>
    <rPh sb="11" eb="13">
      <t>コウゲキ</t>
    </rPh>
    <rPh sb="15" eb="17">
      <t>テイカ</t>
    </rPh>
    <phoneticPr fontId="9"/>
  </si>
  <si>
    <t>防御 X1.5%, 敵防御1%低下</t>
    <rPh sb="0" eb="2">
      <t>ボウギョ</t>
    </rPh>
    <rPh sb="10" eb="11">
      <t>テキ</t>
    </rPh>
    <rPh sb="11" eb="13">
      <t>ボウギョ</t>
    </rPh>
    <rPh sb="15" eb="17">
      <t>テイカ</t>
    </rPh>
    <phoneticPr fontId="9"/>
  </si>
  <si>
    <t>連撃/抵抗 x0.5%, 敵連撃/抵抗1.5%低下</t>
    <rPh sb="0" eb="2">
      <t>レンゲキ</t>
    </rPh>
    <rPh sb="3" eb="5">
      <t>テイコウ</t>
    </rPh>
    <rPh sb="13" eb="14">
      <t>テキ</t>
    </rPh>
    <rPh sb="23" eb="25">
      <t>テイカ</t>
    </rPh>
    <phoneticPr fontId="9"/>
  </si>
  <si>
    <t>敵貫通 x3%低下, 味方 x3%アップ</t>
    <rPh sb="0" eb="1">
      <t>テキ</t>
    </rPh>
    <rPh sb="1" eb="3">
      <t>カンツウ</t>
    </rPh>
    <rPh sb="7" eb="9">
      <t>テイカ</t>
    </rPh>
    <rPh sb="11" eb="13">
      <t>ミカタ</t>
    </rPh>
    <phoneticPr fontId="9"/>
  </si>
  <si>
    <t>備考</t>
    <rPh sb="0" eb="2">
      <t>ビコウ</t>
    </rPh>
    <phoneticPr fontId="9"/>
  </si>
  <si>
    <t>奇策合成2</t>
    <rPh sb="0" eb="2">
      <t>キサク</t>
    </rPh>
    <rPh sb="2" eb="4">
      <t>ゴウセイ</t>
    </rPh>
    <phoneticPr fontId="9"/>
  </si>
  <si>
    <t>神策</t>
    <rPh sb="0" eb="1">
      <t>カミ</t>
    </rPh>
    <rPh sb="1" eb="2">
      <t>サク</t>
    </rPh>
    <phoneticPr fontId="9"/>
  </si>
  <si>
    <t>気勢霆震</t>
    <rPh sb="0" eb="1">
      <t>キ</t>
    </rPh>
    <rPh sb="1" eb="2">
      <t>イキオ</t>
    </rPh>
    <rPh sb="3" eb="4">
      <t>シン</t>
    </rPh>
    <phoneticPr fontId="9"/>
  </si>
  <si>
    <t>陥陣砕鋒</t>
    <rPh sb="0" eb="1">
      <t>カン</t>
    </rPh>
    <rPh sb="1" eb="2">
      <t>ジン</t>
    </rPh>
    <rPh sb="2" eb="3">
      <t>サイ</t>
    </rPh>
    <phoneticPr fontId="9"/>
  </si>
  <si>
    <t>疾若烈風</t>
    <rPh sb="0" eb="1">
      <t>シツ</t>
    </rPh>
    <rPh sb="1" eb="2">
      <t>ワカ</t>
    </rPh>
    <rPh sb="2" eb="3">
      <t>レツ</t>
    </rPh>
    <rPh sb="3" eb="4">
      <t>カゼ</t>
    </rPh>
    <phoneticPr fontId="9"/>
  </si>
  <si>
    <t>巍然屹立</t>
    <phoneticPr fontId="9"/>
  </si>
  <si>
    <t>馬</t>
    <rPh sb="0" eb="1">
      <t>ウマ</t>
    </rPh>
    <phoneticPr fontId="9"/>
  </si>
  <si>
    <t>歩</t>
    <rPh sb="0" eb="1">
      <t>ホ</t>
    </rPh>
    <phoneticPr fontId="9"/>
  </si>
  <si>
    <t>弓</t>
    <rPh sb="0" eb="1">
      <t>ユミ</t>
    </rPh>
    <phoneticPr fontId="9"/>
  </si>
  <si>
    <t>共通</t>
    <rPh sb="0" eb="2">
      <t>キョウツウ</t>
    </rPh>
    <phoneticPr fontId="9"/>
  </si>
  <si>
    <t>玄黄月英</t>
    <rPh sb="0" eb="1">
      <t>ゲン</t>
    </rPh>
    <phoneticPr fontId="9"/>
  </si>
  <si>
    <t>全琮</t>
    <rPh sb="0" eb="1">
      <t>ゼン</t>
    </rPh>
    <rPh sb="1" eb="2">
      <t>ソウ</t>
    </rPh>
    <phoneticPr fontId="9"/>
  </si>
  <si>
    <t>主陣ダメ15%減（累加不可）、角陣ダメ15%減（上限30%）、【装備】交戦毎兵士4%増</t>
    <rPh sb="7" eb="8">
      <t>ゲン</t>
    </rPh>
    <rPh sb="22" eb="23">
      <t>ゲン</t>
    </rPh>
    <rPh sb="35" eb="37">
      <t>コウセン</t>
    </rPh>
    <rPh sb="37" eb="38">
      <t>マイ</t>
    </rPh>
    <rPh sb="38" eb="40">
      <t>ヘイシ</t>
    </rPh>
    <rPh sb="42" eb="43">
      <t>ゾウ</t>
    </rPh>
    <phoneticPr fontId="9"/>
  </si>
  <si>
    <t>玄曹彰</t>
    <rPh sb="0" eb="1">
      <t>ゲン</t>
    </rPh>
    <rPh sb="1" eb="2">
      <t>ツカサ</t>
    </rPh>
    <rPh sb="2" eb="3">
      <t>アキラ</t>
    </rPh>
    <phoneticPr fontId="9"/>
  </si>
  <si>
    <t>兵種比率20%毎連撃4%増（累加不可）、戦時軍紀 馬比率x22%増、弓比率x22%減【装備】敵の防御6%減</t>
    <rPh sb="8" eb="10">
      <t>レンゲキ</t>
    </rPh>
    <rPh sb="25" eb="26">
      <t>ウマ</t>
    </rPh>
    <rPh sb="26" eb="28">
      <t>ヒリツ</t>
    </rPh>
    <rPh sb="32" eb="33">
      <t>ゾウ</t>
    </rPh>
    <rPh sb="34" eb="35">
      <t>ユミ</t>
    </rPh>
    <rPh sb="35" eb="37">
      <t>ヒリツ</t>
    </rPh>
    <rPh sb="41" eb="42">
      <t>ゲン</t>
    </rPh>
    <rPh sb="48" eb="50">
      <t>ボウギョ</t>
    </rPh>
    <rPh sb="52" eb="53">
      <t>ゲン</t>
    </rPh>
    <phoneticPr fontId="9"/>
  </si>
  <si>
    <t>朱然</t>
    <rPh sb="0" eb="1">
      <t>シュ</t>
    </rPh>
    <rPh sb="1" eb="2">
      <t>ネン</t>
    </rPh>
    <phoneticPr fontId="9"/>
  </si>
  <si>
    <t>実ダメ減（味方角陣防御 / 敵角陣防御) x 16.5%【装備】味方角陣連撃12%増</t>
    <rPh sb="0" eb="1">
      <t>ジツ</t>
    </rPh>
    <rPh sb="3" eb="4">
      <t>ゲン</t>
    </rPh>
    <rPh sb="5" eb="7">
      <t>ミカタ</t>
    </rPh>
    <rPh sb="7" eb="8">
      <t>ツノ</t>
    </rPh>
    <rPh sb="8" eb="9">
      <t>ジン</t>
    </rPh>
    <rPh sb="9" eb="11">
      <t>ボウギョ</t>
    </rPh>
    <rPh sb="14" eb="15">
      <t>テキ</t>
    </rPh>
    <rPh sb="32" eb="34">
      <t>ミカタ</t>
    </rPh>
    <rPh sb="34" eb="35">
      <t>ツノ</t>
    </rPh>
    <rPh sb="35" eb="36">
      <t>ジン</t>
    </rPh>
    <rPh sb="36" eb="38">
      <t>レンゲキ</t>
    </rPh>
    <phoneticPr fontId="9"/>
  </si>
  <si>
    <t>兵士5%殺傷（上限10%）【装備】敵貫通5%減（累加不可）</t>
    <rPh sb="18" eb="20">
      <t>カンツウ</t>
    </rPh>
    <phoneticPr fontId="9"/>
  </si>
  <si>
    <t>ダメ18%減、元兵敵より大+5%減（累加不可）、【装備】抵抗5%増（上限10%）</t>
    <phoneticPr fontId="9"/>
  </si>
  <si>
    <t>連撃武力差分×3%増（上限35%）【装備】ダメージ増（連撃増% x 20%）</t>
    <rPh sb="25" eb="26">
      <t>ゾウ</t>
    </rPh>
    <rPh sb="27" eb="29">
      <t>レンゲキ</t>
    </rPh>
    <rPh sb="29" eb="30">
      <t>ゾウ</t>
    </rPh>
    <phoneticPr fontId="9"/>
  </si>
  <si>
    <t>ダメージ増（味方残存兵士率x16.5%）、ダメージ減（敵方残存兵士率x16.5%）【装備】敵軍紀5%減（累加不可）</t>
    <rPh sb="4" eb="5">
      <t>ゾウ</t>
    </rPh>
    <rPh sb="6" eb="8">
      <t>ミカタ</t>
    </rPh>
    <rPh sb="8" eb="10">
      <t>ザンゾン</t>
    </rPh>
    <rPh sb="10" eb="12">
      <t>ヘイシ</t>
    </rPh>
    <rPh sb="12" eb="13">
      <t>リツ</t>
    </rPh>
    <rPh sb="25" eb="26">
      <t>ゲン</t>
    </rPh>
    <rPh sb="27" eb="28">
      <t>テキ</t>
    </rPh>
    <rPh sb="45" eb="46">
      <t>テキ</t>
    </rPh>
    <rPh sb="46" eb="48">
      <t>グンキ</t>
    </rPh>
    <rPh sb="50" eb="51">
      <t>ゲン</t>
    </rPh>
    <phoneticPr fontId="9"/>
  </si>
  <si>
    <t>玄周泰</t>
    <rPh sb="0" eb="1">
      <t>ゲン</t>
    </rPh>
    <rPh sb="1" eb="3">
      <t>シュウタイ</t>
    </rPh>
    <phoneticPr fontId="9"/>
  </si>
  <si>
    <t>ダメージ増（味方残シールド率x27.5%）【装備】貫通抵抗5%増（累加不可）</t>
    <rPh sb="4" eb="5">
      <t>ゾウ</t>
    </rPh>
    <rPh sb="6" eb="8">
      <t>ミカタ</t>
    </rPh>
    <rPh sb="8" eb="9">
      <t>ザン</t>
    </rPh>
    <rPh sb="13" eb="14">
      <t>リツ</t>
    </rPh>
    <rPh sb="25" eb="27">
      <t>カンツウ</t>
    </rPh>
    <phoneticPr fontId="9"/>
  </si>
  <si>
    <t>玄丁奉</t>
    <rPh sb="0" eb="1">
      <t>ゲン</t>
    </rPh>
    <rPh sb="1" eb="3">
      <t>テイホウ</t>
    </rPh>
    <phoneticPr fontId="9"/>
  </si>
  <si>
    <t>ダメ18%減、最終連撃高の場合ダメ5%減追加（累加不可）</t>
    <rPh sb="5" eb="6">
      <t>ゲン</t>
    </rPh>
    <rPh sb="13" eb="15">
      <t>バアイ</t>
    </rPh>
    <rPh sb="19" eb="20">
      <t>ゲン</t>
    </rPh>
    <rPh sb="20" eb="22">
      <t>ツイカ</t>
    </rPh>
    <phoneticPr fontId="9"/>
  </si>
  <si>
    <t>青葉</t>
    <rPh sb="0" eb="2">
      <t>アオバ</t>
    </rPh>
    <phoneticPr fontId="9"/>
  </si>
  <si>
    <t>武将有無(突破〇/装備◎)</t>
    <rPh sb="5" eb="7">
      <t>トッパ</t>
    </rPh>
    <phoneticPr fontId="9"/>
  </si>
  <si>
    <t>副将に一人で十分</t>
    <rPh sb="0" eb="2">
      <t>フクショウ</t>
    </rPh>
    <rPh sb="3" eb="5">
      <t>ヒトリ</t>
    </rPh>
    <rPh sb="6" eb="8">
      <t>ジュウブン</t>
    </rPh>
    <phoneticPr fontId="9"/>
  </si>
  <si>
    <t>高覧</t>
    <rPh sb="0" eb="2">
      <t>コウラン</t>
    </rPh>
    <phoneticPr fontId="9"/>
  </si>
  <si>
    <t>武力</t>
    <rPh sb="0" eb="2">
      <t>ブリョク</t>
    </rPh>
    <phoneticPr fontId="9"/>
  </si>
  <si>
    <t>軍紀19.8％ダウン(上限30％)</t>
    <rPh sb="0" eb="2">
      <t>グンキ</t>
    </rPh>
    <rPh sb="11" eb="13">
      <t>ジョウゲン</t>
    </rPh>
    <phoneticPr fontId="9"/>
  </si>
  <si>
    <t>潘璋</t>
    <rPh sb="0" eb="2">
      <t>ハンショウ</t>
    </rPh>
    <phoneticPr fontId="9"/>
  </si>
  <si>
    <t>玄蔡文姫</t>
    <rPh sb="0" eb="1">
      <t>ゲン</t>
    </rPh>
    <rPh sb="1" eb="4">
      <t>サイブンキ</t>
    </rPh>
    <phoneticPr fontId="9"/>
  </si>
  <si>
    <t>知性</t>
    <phoneticPr fontId="9"/>
  </si>
  <si>
    <t>貫通減16.5％（上限20％）貫通アップ5.5％（10％）</t>
    <rPh sb="0" eb="2">
      <t>カンツウ</t>
    </rPh>
    <rPh sb="2" eb="3">
      <t>ゲン</t>
    </rPh>
    <rPh sb="9" eb="11">
      <t>ジョウゲン</t>
    </rPh>
    <rPh sb="15" eb="17">
      <t>カンツウ</t>
    </rPh>
    <phoneticPr fontId="9"/>
  </si>
  <si>
    <t>陳登</t>
    <rPh sb="0" eb="1">
      <t>チン</t>
    </rPh>
    <rPh sb="1" eb="2">
      <t>ノボル</t>
    </rPh>
    <phoneticPr fontId="9"/>
  </si>
  <si>
    <t>知力</t>
    <rPh sb="0" eb="2">
      <t>チリョク</t>
    </rPh>
    <phoneticPr fontId="9"/>
  </si>
  <si>
    <t>主陣実ダメ増（味方角陣初回交戦攻撃力 / 敵角陣初回交戦攻撃力) x 16.5%（累計不可）　【装備】味方角陣連撃12%増</t>
    <rPh sb="0" eb="1">
      <t>シュ</t>
    </rPh>
    <rPh sb="1" eb="2">
      <t>ジン</t>
    </rPh>
    <rPh sb="2" eb="3">
      <t>ジツ</t>
    </rPh>
    <rPh sb="5" eb="6">
      <t>ゾウ</t>
    </rPh>
    <rPh sb="7" eb="9">
      <t>ミカタ</t>
    </rPh>
    <rPh sb="9" eb="10">
      <t>ツノ</t>
    </rPh>
    <rPh sb="10" eb="11">
      <t>ジン</t>
    </rPh>
    <rPh sb="11" eb="13">
      <t>ショカイ</t>
    </rPh>
    <rPh sb="13" eb="15">
      <t>コウセン</t>
    </rPh>
    <rPh sb="15" eb="18">
      <t>コウゲキリョク</t>
    </rPh>
    <rPh sb="21" eb="22">
      <t>テキ</t>
    </rPh>
    <rPh sb="24" eb="28">
      <t>ショカイコウセン</t>
    </rPh>
    <rPh sb="28" eb="31">
      <t>コウゲキリョク</t>
    </rPh>
    <rPh sb="41" eb="43">
      <t>ルイケイ</t>
    </rPh>
    <rPh sb="43" eb="45">
      <t>フカ</t>
    </rPh>
    <rPh sb="50" eb="52">
      <t>ミカタ</t>
    </rPh>
    <rPh sb="52" eb="53">
      <t>ツノ</t>
    </rPh>
    <rPh sb="53" eb="54">
      <t>ジン</t>
    </rPh>
    <rPh sb="54" eb="56">
      <t>レンゲキ</t>
    </rPh>
    <phoneticPr fontId="9"/>
  </si>
  <si>
    <t>ダメージ増（抵抗勝の場合追加5.5％）【装備】抵抗低下5％＋敵方歩兵比率×3％</t>
    <rPh sb="4" eb="5">
      <t>ゾウ</t>
    </rPh>
    <rPh sb="6" eb="8">
      <t>テイコウ</t>
    </rPh>
    <rPh sb="8" eb="9">
      <t>カツ</t>
    </rPh>
    <rPh sb="10" eb="12">
      <t>バアイ</t>
    </rPh>
    <rPh sb="12" eb="14">
      <t>ツイカ</t>
    </rPh>
    <rPh sb="20" eb="22">
      <t>ソウビ</t>
    </rPh>
    <rPh sb="23" eb="25">
      <t>テイコウ</t>
    </rPh>
    <rPh sb="25" eb="27">
      <t>テイカ</t>
    </rPh>
    <rPh sb="30" eb="32">
      <t>テキカタ</t>
    </rPh>
    <rPh sb="32" eb="34">
      <t>ホヘイ</t>
    </rPh>
    <rPh sb="34" eb="36">
      <t>ヒリツ</t>
    </rPh>
    <phoneticPr fontId="9"/>
  </si>
  <si>
    <t>ナギ</t>
    <phoneticPr fontId="9"/>
  </si>
  <si>
    <t>魯班</t>
    <rPh sb="0" eb="2">
      <t>ロハン</t>
    </rPh>
    <phoneticPr fontId="9"/>
  </si>
  <si>
    <t>アロ</t>
    <phoneticPr fontId="9"/>
  </si>
  <si>
    <t>あらなみ</t>
    <phoneticPr fontId="9"/>
  </si>
  <si>
    <t>美しい人</t>
    <rPh sb="0" eb="1">
      <t>ウツク</t>
    </rPh>
    <rPh sb="3" eb="4">
      <t>ヒト</t>
    </rPh>
    <phoneticPr fontId="9"/>
  </si>
  <si>
    <t>中哲</t>
    <rPh sb="0" eb="2">
      <t>ナカテツ</t>
    </rPh>
    <phoneticPr fontId="9"/>
  </si>
  <si>
    <t>K虎</t>
    <rPh sb="1" eb="2">
      <t>トラ</t>
    </rPh>
    <phoneticPr fontId="9"/>
  </si>
  <si>
    <t>ゴッドハンド</t>
    <phoneticPr fontId="9"/>
  </si>
  <si>
    <t>もこ</t>
    <phoneticPr fontId="9"/>
  </si>
  <si>
    <t>吉国</t>
    <rPh sb="0" eb="2">
      <t>ヨシクニ</t>
    </rPh>
    <phoneticPr fontId="9"/>
  </si>
  <si>
    <t>ボロ</t>
    <phoneticPr fontId="9"/>
  </si>
  <si>
    <t>毘山</t>
    <rPh sb="0" eb="1">
      <t>ビ</t>
    </rPh>
    <rPh sb="1" eb="2">
      <t>ヤマ</t>
    </rPh>
    <phoneticPr fontId="9"/>
  </si>
  <si>
    <t>穂</t>
    <rPh sb="0" eb="1">
      <t>ミノリ</t>
    </rPh>
    <phoneticPr fontId="9"/>
  </si>
  <si>
    <t>斗茂</t>
    <rPh sb="0" eb="1">
      <t>ト</t>
    </rPh>
    <rPh sb="1" eb="2">
      <t>モ</t>
    </rPh>
    <phoneticPr fontId="9"/>
  </si>
  <si>
    <t>擬似</t>
    <rPh sb="0" eb="2">
      <t>ギジ</t>
    </rPh>
    <phoneticPr fontId="9"/>
  </si>
  <si>
    <t>ひさおん</t>
    <phoneticPr fontId="9"/>
  </si>
  <si>
    <t>ジョニ</t>
    <phoneticPr fontId="9"/>
  </si>
  <si>
    <t>ピースケ</t>
    <phoneticPr fontId="9"/>
  </si>
  <si>
    <t>堂</t>
    <rPh sb="0" eb="1">
      <t>ドウ</t>
    </rPh>
    <phoneticPr fontId="9"/>
  </si>
  <si>
    <t>レントン</t>
    <phoneticPr fontId="9"/>
  </si>
  <si>
    <t>紳士</t>
    <rPh sb="0" eb="2">
      <t>シンシ</t>
    </rPh>
    <phoneticPr fontId="9"/>
  </si>
  <si>
    <t>若</t>
    <rPh sb="0" eb="1">
      <t>ワカ</t>
    </rPh>
    <phoneticPr fontId="9"/>
  </si>
  <si>
    <t>武龍</t>
    <rPh sb="0" eb="1">
      <t>ブ</t>
    </rPh>
    <rPh sb="1" eb="2">
      <t>リュウ</t>
    </rPh>
    <phoneticPr fontId="9"/>
  </si>
  <si>
    <t>盛岡</t>
    <rPh sb="0" eb="2">
      <t>モリオカ</t>
    </rPh>
    <phoneticPr fontId="9"/>
  </si>
  <si>
    <t>銀</t>
    <rPh sb="0" eb="1">
      <t>ギン</t>
    </rPh>
    <phoneticPr fontId="9"/>
  </si>
  <si>
    <t>神迅</t>
    <rPh sb="0" eb="1">
      <t>ジン</t>
    </rPh>
    <rPh sb="1" eb="2">
      <t>ジン</t>
    </rPh>
    <phoneticPr fontId="9"/>
  </si>
  <si>
    <t>凱翔</t>
    <rPh sb="0" eb="1">
      <t>ガイ</t>
    </rPh>
    <rPh sb="1" eb="2">
      <t>ショウ</t>
    </rPh>
    <phoneticPr fontId="9"/>
  </si>
  <si>
    <t>滉</t>
    <rPh sb="0" eb="1">
      <t>コウ</t>
    </rPh>
    <phoneticPr fontId="9"/>
  </si>
  <si>
    <t>紅</t>
    <rPh sb="0" eb="1">
      <t>ベニ</t>
    </rPh>
    <phoneticPr fontId="9"/>
  </si>
  <si>
    <t>ショウ</t>
    <phoneticPr fontId="9"/>
  </si>
  <si>
    <t>あいうお</t>
    <phoneticPr fontId="9"/>
  </si>
  <si>
    <t>シャオ</t>
    <phoneticPr fontId="9"/>
  </si>
  <si>
    <t>ミート</t>
    <phoneticPr fontId="9"/>
  </si>
  <si>
    <t>倉永</t>
    <rPh sb="0" eb="2">
      <t>クラナガ</t>
    </rPh>
    <phoneticPr fontId="9"/>
  </si>
  <si>
    <t>亜由</t>
    <rPh sb="0" eb="2">
      <t>アユ</t>
    </rPh>
    <phoneticPr fontId="9"/>
  </si>
  <si>
    <t>千夏</t>
    <rPh sb="0" eb="2">
      <t>チナツ</t>
    </rPh>
    <phoneticPr fontId="9"/>
  </si>
  <si>
    <t>オカ</t>
    <phoneticPr fontId="9"/>
  </si>
  <si>
    <t>安全</t>
    <rPh sb="0" eb="2">
      <t>アンゼン</t>
    </rPh>
    <phoneticPr fontId="9"/>
  </si>
  <si>
    <t>むぎ</t>
    <phoneticPr fontId="9"/>
  </si>
  <si>
    <t>いま</t>
    <phoneticPr fontId="9"/>
  </si>
  <si>
    <t>雛</t>
    <rPh sb="0" eb="1">
      <t>ヒナ</t>
    </rPh>
    <phoneticPr fontId="9"/>
  </si>
  <si>
    <t>すゑ</t>
    <phoneticPr fontId="9"/>
  </si>
  <si>
    <t>くま</t>
    <phoneticPr fontId="9"/>
  </si>
  <si>
    <t>プ</t>
    <phoneticPr fontId="9"/>
  </si>
  <si>
    <t>三大天</t>
    <rPh sb="0" eb="2">
      <t>サンダイ</t>
    </rPh>
    <rPh sb="2" eb="3">
      <t>テン</t>
    </rPh>
    <phoneticPr fontId="9"/>
  </si>
  <si>
    <t>そらジロー</t>
    <phoneticPr fontId="9"/>
  </si>
  <si>
    <t>ハモ</t>
    <phoneticPr fontId="9"/>
  </si>
  <si>
    <t>type</t>
    <phoneticPr fontId="9"/>
  </si>
  <si>
    <t>集結</t>
    <rPh sb="0" eb="2">
      <t>シュウケツ</t>
    </rPh>
    <phoneticPr fontId="9"/>
  </si>
  <si>
    <t>戦力</t>
    <rPh sb="0" eb="2">
      <t>センリョク</t>
    </rPh>
    <phoneticPr fontId="9"/>
  </si>
  <si>
    <t>名前</t>
    <rPh sb="0" eb="2">
      <t>ナマエ</t>
    </rPh>
    <phoneticPr fontId="9"/>
  </si>
  <si>
    <t>順位</t>
    <rPh sb="0" eb="2">
      <t>ジュンイ</t>
    </rPh>
    <phoneticPr fontId="9"/>
  </si>
  <si>
    <t>暴君はる</t>
    <rPh sb="0" eb="2">
      <t>ボウクン</t>
    </rPh>
    <phoneticPr fontId="9"/>
  </si>
  <si>
    <t>周辺</t>
    <rPh sb="0" eb="2">
      <t>シュウヘン</t>
    </rPh>
    <phoneticPr fontId="9"/>
  </si>
  <si>
    <t>玄黄蓋</t>
    <rPh sb="0" eb="1">
      <t>ゲン</t>
    </rPh>
    <rPh sb="1" eb="3">
      <t>コウガイ</t>
    </rPh>
    <phoneticPr fontId="9"/>
  </si>
  <si>
    <t>武力</t>
    <rPh sb="0" eb="2">
      <t>ブリョク</t>
    </rPh>
    <phoneticPr fontId="9"/>
  </si>
  <si>
    <t>初回交戦味方参戦可能兵士数の10％ダメージ、毎回交戦敵方参戦兵士の10％がダメージ与えられない（累計不可）</t>
    <rPh sb="0" eb="4">
      <t>ショカイコウセン</t>
    </rPh>
    <rPh sb="4" eb="6">
      <t>ミカタ</t>
    </rPh>
    <rPh sb="6" eb="8">
      <t>サンセン</t>
    </rPh>
    <rPh sb="8" eb="10">
      <t>カノウ</t>
    </rPh>
    <rPh sb="10" eb="12">
      <t>ヘイシ</t>
    </rPh>
    <rPh sb="12" eb="13">
      <t>スウ</t>
    </rPh>
    <rPh sb="22" eb="24">
      <t>マイカイ</t>
    </rPh>
    <rPh sb="24" eb="26">
      <t>コウセン</t>
    </rPh>
    <rPh sb="26" eb="28">
      <t>テキカタ</t>
    </rPh>
    <rPh sb="28" eb="30">
      <t>サンセン</t>
    </rPh>
    <rPh sb="30" eb="32">
      <t>ヘイシ</t>
    </rPh>
    <rPh sb="41" eb="42">
      <t>アタ</t>
    </rPh>
    <rPh sb="48" eb="50">
      <t>ルイケイ</t>
    </rPh>
    <rPh sb="50" eb="52">
      <t>フカ</t>
    </rPh>
    <phoneticPr fontId="9"/>
  </si>
  <si>
    <t>統率</t>
    <rPh sb="0" eb="2">
      <t>トウソツ</t>
    </rPh>
    <phoneticPr fontId="9"/>
  </si>
  <si>
    <t>角陣</t>
    <rPh sb="0" eb="2">
      <t>カクジン</t>
    </rPh>
    <phoneticPr fontId="9"/>
  </si>
  <si>
    <t>麹義</t>
    <rPh sb="0" eb="2">
      <t>キクギ</t>
    </rPh>
    <phoneticPr fontId="9"/>
  </si>
  <si>
    <t>玄孫堅</t>
    <rPh sb="0" eb="1">
      <t>ゲン</t>
    </rPh>
    <rPh sb="1" eb="3">
      <t>ソンケン</t>
    </rPh>
    <phoneticPr fontId="9"/>
  </si>
  <si>
    <t>玄鄧艾</t>
    <rPh sb="0" eb="3">
      <t>ゲントウガイ</t>
    </rPh>
    <phoneticPr fontId="9"/>
  </si>
  <si>
    <t>曹仁</t>
    <rPh sb="0" eb="2">
      <t>ソウジン</t>
    </rPh>
    <phoneticPr fontId="9"/>
  </si>
  <si>
    <t>楽進</t>
    <rPh sb="0" eb="2">
      <t>ガクシン</t>
    </rPh>
    <phoneticPr fontId="9"/>
  </si>
  <si>
    <t>玄呂蒙</t>
    <rPh sb="0" eb="3">
      <t>ゲンリョモウ</t>
    </rPh>
    <phoneticPr fontId="9"/>
  </si>
  <si>
    <t>満寵</t>
    <rPh sb="0" eb="2">
      <t>マンチョウ</t>
    </rPh>
    <phoneticPr fontId="9"/>
  </si>
  <si>
    <t>玄荀攸</t>
    <rPh sb="0" eb="1">
      <t>ゲン</t>
    </rPh>
    <rPh sb="1" eb="3">
      <t>ジュンユウ</t>
    </rPh>
    <phoneticPr fontId="9"/>
  </si>
  <si>
    <t>大喬</t>
    <rPh sb="0" eb="2">
      <t>ダイキョウ</t>
    </rPh>
    <phoneticPr fontId="9"/>
  </si>
  <si>
    <t>玄孫策</t>
    <rPh sb="0" eb="3">
      <t>ゲンソンサク</t>
    </rPh>
    <phoneticPr fontId="9"/>
  </si>
  <si>
    <t>関羽</t>
    <rPh sb="0" eb="2">
      <t>カンウ</t>
    </rPh>
    <phoneticPr fontId="9"/>
  </si>
  <si>
    <t>全そう</t>
    <rPh sb="0" eb="1">
      <t>ゼン</t>
    </rPh>
    <phoneticPr fontId="9"/>
  </si>
  <si>
    <t>賈逵</t>
    <rPh sb="0" eb="2">
      <t>カキ</t>
    </rPh>
    <phoneticPr fontId="9"/>
  </si>
  <si>
    <t>司馬昭</t>
    <rPh sb="0" eb="3">
      <t>シバショウ</t>
    </rPh>
    <phoneticPr fontId="9"/>
  </si>
  <si>
    <t>信長</t>
    <rPh sb="0" eb="2">
      <t>ノブナガ</t>
    </rPh>
    <phoneticPr fontId="9"/>
  </si>
  <si>
    <t>周瑜</t>
    <rPh sb="0" eb="2">
      <t>シュウユ</t>
    </rPh>
    <phoneticPr fontId="9"/>
  </si>
  <si>
    <t>玄徐晃</t>
    <rPh sb="0" eb="3">
      <t>ゲンジョコウ</t>
    </rPh>
    <phoneticPr fontId="9"/>
  </si>
  <si>
    <t>司馬懿</t>
    <rPh sb="0" eb="3">
      <t>シバイ</t>
    </rPh>
    <phoneticPr fontId="9"/>
  </si>
  <si>
    <t>玄張角</t>
    <rPh sb="0" eb="3">
      <t>ゲンチョウカク</t>
    </rPh>
    <phoneticPr fontId="9"/>
  </si>
  <si>
    <t>玄陸遜</t>
    <rPh sb="0" eb="3">
      <t>ゲンリクソン</t>
    </rPh>
    <phoneticPr fontId="9"/>
  </si>
  <si>
    <t>玄夏侯淵</t>
    <rPh sb="0" eb="1">
      <t>ゲン</t>
    </rPh>
    <rPh sb="1" eb="4">
      <t>カコウエン</t>
    </rPh>
    <phoneticPr fontId="9"/>
  </si>
  <si>
    <t>玄程昱</t>
    <rPh sb="0" eb="1">
      <t>ゲン</t>
    </rPh>
    <rPh sb="1" eb="3">
      <t>テイイク</t>
    </rPh>
    <phoneticPr fontId="9"/>
  </si>
  <si>
    <t>玄祝融</t>
    <rPh sb="0" eb="1">
      <t>ゲン</t>
    </rPh>
    <rPh sb="1" eb="3">
      <t>シュクユウ</t>
    </rPh>
    <phoneticPr fontId="9"/>
  </si>
  <si>
    <t>玄孫尚香</t>
    <rPh sb="0" eb="1">
      <t>ゲン</t>
    </rPh>
    <rPh sb="1" eb="4">
      <t>ソンショウコウ</t>
    </rPh>
    <phoneticPr fontId="9"/>
  </si>
  <si>
    <t>玄関羽</t>
    <rPh sb="0" eb="3">
      <t>ゲンカンウ</t>
    </rPh>
    <phoneticPr fontId="9"/>
  </si>
  <si>
    <t>玄陳登</t>
    <rPh sb="0" eb="1">
      <t>ゲン</t>
    </rPh>
    <rPh sb="1" eb="3">
      <t>チントウ</t>
    </rPh>
    <phoneticPr fontId="9"/>
  </si>
  <si>
    <t>玄呂布</t>
    <rPh sb="0" eb="1">
      <t>ゲン</t>
    </rPh>
    <rPh sb="1" eb="3">
      <t>リョフ</t>
    </rPh>
    <phoneticPr fontId="9"/>
  </si>
  <si>
    <t>玄呂蒙</t>
    <rPh sb="0" eb="1">
      <t>ゲン</t>
    </rPh>
    <rPh sb="1" eb="3">
      <t>リョモウ</t>
    </rPh>
    <phoneticPr fontId="9"/>
  </si>
  <si>
    <t>呉国</t>
    <rPh sb="0" eb="2">
      <t>ゴコク</t>
    </rPh>
    <phoneticPr fontId="9"/>
  </si>
  <si>
    <t>玄徐庶</t>
    <rPh sb="0" eb="1">
      <t>ゲン</t>
    </rPh>
    <rPh sb="1" eb="3">
      <t>ジョショ</t>
    </rPh>
    <phoneticPr fontId="9"/>
  </si>
  <si>
    <t>玄小喬</t>
    <rPh sb="0" eb="1">
      <t>ゲン</t>
    </rPh>
    <rPh sb="1" eb="3">
      <t>ショウキョウ</t>
    </rPh>
    <phoneticPr fontId="9"/>
  </si>
  <si>
    <t>玄鄧艾</t>
    <rPh sb="0" eb="1">
      <t>ゲン</t>
    </rPh>
    <rPh sb="1" eb="3">
      <t>トウガイ</t>
    </rPh>
    <phoneticPr fontId="9"/>
  </si>
  <si>
    <t>玄孫権</t>
    <rPh sb="0" eb="1">
      <t>ゲン</t>
    </rPh>
    <rPh sb="1" eb="3">
      <t>ソンケン</t>
    </rPh>
    <phoneticPr fontId="9"/>
  </si>
  <si>
    <t>馬鈞</t>
    <rPh sb="0" eb="2">
      <t>バキン</t>
    </rPh>
    <phoneticPr fontId="9"/>
  </si>
  <si>
    <t>玄廖化</t>
    <rPh sb="0" eb="1">
      <t>ゲン</t>
    </rPh>
    <rPh sb="1" eb="3">
      <t>リョウカ</t>
    </rPh>
    <phoneticPr fontId="9"/>
  </si>
  <si>
    <t>ぜんそう</t>
    <phoneticPr fontId="9"/>
  </si>
  <si>
    <t>玄孫策</t>
    <rPh sb="0" eb="1">
      <t>ゲン</t>
    </rPh>
    <rPh sb="1" eb="3">
      <t>ソンサク</t>
    </rPh>
    <phoneticPr fontId="9"/>
  </si>
  <si>
    <t>典韋</t>
    <rPh sb="0" eb="2">
      <t>テンイ</t>
    </rPh>
    <phoneticPr fontId="9"/>
  </si>
  <si>
    <t>華佗</t>
    <rPh sb="0" eb="2">
      <t>カダ</t>
    </rPh>
    <phoneticPr fontId="9"/>
  </si>
  <si>
    <t>玄許チョ</t>
    <rPh sb="0" eb="1">
      <t>ゲン</t>
    </rPh>
    <rPh sb="1" eb="2">
      <t>キョ</t>
    </rPh>
    <phoneticPr fontId="9"/>
  </si>
  <si>
    <t>玄黄月英</t>
    <rPh sb="0" eb="1">
      <t>ゲン</t>
    </rPh>
    <rPh sb="1" eb="4">
      <t>コウゲツエイ</t>
    </rPh>
    <phoneticPr fontId="9"/>
  </si>
  <si>
    <t>玄司馬懿</t>
    <rPh sb="0" eb="4">
      <t>ゲンシバイ</t>
    </rPh>
    <phoneticPr fontId="9"/>
  </si>
  <si>
    <t>曹洪</t>
    <rPh sb="0" eb="2">
      <t>ソウコウ</t>
    </rPh>
    <phoneticPr fontId="9"/>
  </si>
  <si>
    <t>玄張飛</t>
    <rPh sb="0" eb="1">
      <t>ゲン</t>
    </rPh>
    <rPh sb="1" eb="3">
      <t>チョウヒ</t>
    </rPh>
    <phoneticPr fontId="9"/>
  </si>
  <si>
    <t>関平</t>
    <rPh sb="0" eb="2">
      <t>カンペイ</t>
    </rPh>
    <phoneticPr fontId="9"/>
  </si>
  <si>
    <t>玄馬超</t>
    <rPh sb="0" eb="1">
      <t>ゲン</t>
    </rPh>
    <rPh sb="1" eb="3">
      <t>バチョウ</t>
    </rPh>
    <phoneticPr fontId="9"/>
  </si>
  <si>
    <t>玄馬雲禄</t>
    <rPh sb="0" eb="1">
      <t>ゲン</t>
    </rPh>
    <rPh sb="1" eb="4">
      <t>バウンロク</t>
    </rPh>
    <phoneticPr fontId="9"/>
  </si>
  <si>
    <t>玄カク</t>
    <rPh sb="0" eb="1">
      <t>ゲン</t>
    </rPh>
    <phoneticPr fontId="9"/>
  </si>
  <si>
    <t>玄公孫瓚</t>
    <rPh sb="0" eb="1">
      <t>ゲン</t>
    </rPh>
    <rPh sb="1" eb="4">
      <t>コウソンサン</t>
    </rPh>
    <phoneticPr fontId="9"/>
  </si>
  <si>
    <t>王双</t>
    <rPh sb="0" eb="2">
      <t>オウソウ</t>
    </rPh>
    <phoneticPr fontId="9"/>
  </si>
  <si>
    <t>張飛娘</t>
    <rPh sb="0" eb="3">
      <t>チョウヒムスメ</t>
    </rPh>
    <phoneticPr fontId="9"/>
  </si>
  <si>
    <t>朱然</t>
    <rPh sb="0" eb="2">
      <t>シュゼン</t>
    </rPh>
    <phoneticPr fontId="9"/>
  </si>
  <si>
    <t>審配</t>
    <rPh sb="0" eb="2">
      <t>シンパイ</t>
    </rPh>
    <phoneticPr fontId="9"/>
  </si>
  <si>
    <t>于禁</t>
    <rPh sb="0" eb="2">
      <t>ウキン</t>
    </rPh>
    <phoneticPr fontId="9"/>
  </si>
  <si>
    <t>玄趙雲</t>
    <rPh sb="0" eb="1">
      <t>ゲン</t>
    </rPh>
    <rPh sb="1" eb="3">
      <t>チョウウン</t>
    </rPh>
    <phoneticPr fontId="9"/>
  </si>
  <si>
    <t>玄司馬師</t>
    <rPh sb="0" eb="1">
      <t>ゲン</t>
    </rPh>
    <rPh sb="1" eb="4">
      <t>シバシ</t>
    </rPh>
    <phoneticPr fontId="9"/>
  </si>
  <si>
    <t>文醜</t>
    <rPh sb="0" eb="2">
      <t>ブンシュウ</t>
    </rPh>
    <phoneticPr fontId="9"/>
  </si>
  <si>
    <t>玄趙雲</t>
    <rPh sb="0" eb="3">
      <t>ゲンチョウウン</t>
    </rPh>
    <phoneticPr fontId="9"/>
  </si>
  <si>
    <t>張遼</t>
    <rPh sb="0" eb="2">
      <t>チョウリョウ</t>
    </rPh>
    <phoneticPr fontId="9"/>
  </si>
  <si>
    <t>玄郭嘉</t>
    <rPh sb="0" eb="1">
      <t>ゲン</t>
    </rPh>
    <rPh sb="1" eb="3">
      <t>カクカ</t>
    </rPh>
    <phoneticPr fontId="9"/>
  </si>
  <si>
    <t>夏侯玄</t>
    <rPh sb="0" eb="1">
      <t>ナツ</t>
    </rPh>
    <rPh sb="1" eb="2">
      <t>コウ</t>
    </rPh>
    <rPh sb="2" eb="3">
      <t>ゲン</t>
    </rPh>
    <phoneticPr fontId="9"/>
  </si>
  <si>
    <t>呂蒙</t>
    <rPh sb="0" eb="2">
      <t>リョモウ</t>
    </rPh>
    <phoneticPr fontId="9"/>
  </si>
  <si>
    <t>玄陸遜</t>
    <rPh sb="0" eb="1">
      <t>ゲン</t>
    </rPh>
    <rPh sb="1" eb="3">
      <t>リクソン</t>
    </rPh>
    <phoneticPr fontId="9"/>
  </si>
  <si>
    <t>玄曹操</t>
    <rPh sb="0" eb="1">
      <t>ゲン</t>
    </rPh>
    <rPh sb="1" eb="3">
      <t>ソウソウ</t>
    </rPh>
    <phoneticPr fontId="9"/>
  </si>
  <si>
    <t>玄張コウ</t>
    <rPh sb="0" eb="1">
      <t>ゲン</t>
    </rPh>
    <rPh sb="1" eb="2">
      <t>チョウ</t>
    </rPh>
    <phoneticPr fontId="9"/>
  </si>
  <si>
    <t>玄黄忠</t>
    <rPh sb="0" eb="1">
      <t>ゲン</t>
    </rPh>
    <rPh sb="1" eb="3">
      <t>コウチュウ</t>
    </rPh>
    <phoneticPr fontId="9"/>
  </si>
  <si>
    <t>玄曹彰</t>
    <rPh sb="0" eb="1">
      <t>ゲン</t>
    </rPh>
    <rPh sb="1" eb="3">
      <t>ソウショウ</t>
    </rPh>
    <phoneticPr fontId="9"/>
  </si>
  <si>
    <t>玄荀彧</t>
    <rPh sb="0" eb="1">
      <t>ゲン</t>
    </rPh>
    <rPh sb="1" eb="3">
      <t>ジュンイク</t>
    </rPh>
    <phoneticPr fontId="9"/>
  </si>
  <si>
    <t>玄貂蝉</t>
    <rPh sb="0" eb="1">
      <t>ゲン</t>
    </rPh>
    <rPh sb="1" eb="3">
      <t>チョウセン</t>
    </rPh>
    <phoneticPr fontId="9"/>
  </si>
  <si>
    <t>龐統</t>
    <rPh sb="0" eb="2">
      <t>ホウトウ</t>
    </rPh>
    <phoneticPr fontId="9"/>
  </si>
  <si>
    <t>玄徐晃</t>
    <rPh sb="0" eb="1">
      <t>ゲン</t>
    </rPh>
    <rPh sb="1" eb="3">
      <t>ジョコウ</t>
    </rPh>
    <phoneticPr fontId="9"/>
  </si>
  <si>
    <t>夏侯惇</t>
    <rPh sb="0" eb="3">
      <t>カコウトン</t>
    </rPh>
    <phoneticPr fontId="9"/>
  </si>
  <si>
    <t>カサイ</t>
    <phoneticPr fontId="9"/>
  </si>
  <si>
    <t>玄張角</t>
    <rPh sb="0" eb="1">
      <t>ゲン</t>
    </rPh>
    <rPh sb="1" eb="3">
      <t>チョウカク</t>
    </rPh>
    <phoneticPr fontId="9"/>
  </si>
  <si>
    <t>蒋欽</t>
    <rPh sb="0" eb="2">
      <t>ショウキン</t>
    </rPh>
    <phoneticPr fontId="9"/>
  </si>
  <si>
    <t>呂布</t>
    <rPh sb="0" eb="2">
      <t>リョフ</t>
    </rPh>
    <phoneticPr fontId="9"/>
  </si>
  <si>
    <t>玄甘寧</t>
    <rPh sb="0" eb="1">
      <t>ゲン</t>
    </rPh>
    <rPh sb="1" eb="3">
      <t>カンネイ</t>
    </rPh>
    <phoneticPr fontId="9"/>
  </si>
  <si>
    <t>曹真</t>
    <rPh sb="0" eb="2">
      <t>ソウシン</t>
    </rPh>
    <phoneticPr fontId="9"/>
  </si>
  <si>
    <t>玄太史慈</t>
    <rPh sb="0" eb="1">
      <t>ゲン</t>
    </rPh>
    <rPh sb="1" eb="4">
      <t>タイシジ</t>
    </rPh>
    <phoneticPr fontId="9"/>
  </si>
  <si>
    <t>于吉</t>
    <rPh sb="0" eb="2">
      <t>ウキツ</t>
    </rPh>
    <phoneticPr fontId="9"/>
  </si>
  <si>
    <t>司馬師</t>
    <rPh sb="0" eb="3">
      <t>シバシ</t>
    </rPh>
    <phoneticPr fontId="9"/>
  </si>
  <si>
    <t>諸葛亮</t>
    <rPh sb="0" eb="3">
      <t>ショカツリョウ</t>
    </rPh>
    <phoneticPr fontId="9"/>
  </si>
  <si>
    <t>玄丁奉</t>
    <rPh sb="0" eb="3">
      <t>ゲンテイホウ</t>
    </rPh>
    <phoneticPr fontId="9"/>
  </si>
  <si>
    <t>玄魏延</t>
    <rPh sb="0" eb="1">
      <t>ゲン</t>
    </rPh>
    <rPh sb="1" eb="3">
      <t>ギエン</t>
    </rPh>
    <phoneticPr fontId="9"/>
  </si>
  <si>
    <t>司馬炎</t>
    <rPh sb="0" eb="3">
      <t>シバエン</t>
    </rPh>
    <phoneticPr fontId="9"/>
  </si>
  <si>
    <t>曹彰</t>
    <rPh sb="0" eb="2">
      <t>ソウショウ</t>
    </rPh>
    <phoneticPr fontId="9"/>
  </si>
  <si>
    <t>玄諸葛亮</t>
    <rPh sb="0" eb="1">
      <t>ゲン</t>
    </rPh>
    <rPh sb="1" eb="4">
      <t>ショカツリョウ</t>
    </rPh>
    <phoneticPr fontId="9"/>
  </si>
  <si>
    <t>玄司馬懿</t>
    <rPh sb="0" eb="1">
      <t>ゲン</t>
    </rPh>
    <rPh sb="1" eb="4">
      <t>シバイ</t>
    </rPh>
    <phoneticPr fontId="9"/>
  </si>
  <si>
    <t>真田幸村</t>
    <rPh sb="0" eb="2">
      <t>サナダ</t>
    </rPh>
    <rPh sb="2" eb="4">
      <t>ユキムラ</t>
    </rPh>
    <phoneticPr fontId="9"/>
  </si>
  <si>
    <t>玄廖化</t>
    <rPh sb="0" eb="3">
      <t>ゲンリョウカ</t>
    </rPh>
    <phoneticPr fontId="9"/>
  </si>
  <si>
    <t>荀攸</t>
    <rPh sb="0" eb="2">
      <t>ジュンユウ</t>
    </rPh>
    <phoneticPr fontId="9"/>
  </si>
  <si>
    <t>曹操</t>
    <rPh sb="0" eb="2">
      <t>ソウソウ</t>
    </rPh>
    <phoneticPr fontId="9"/>
  </si>
  <si>
    <t>玄董卓</t>
    <rPh sb="0" eb="1">
      <t>ゲン</t>
    </rPh>
    <rPh sb="1" eb="3">
      <t>トウタク</t>
    </rPh>
    <phoneticPr fontId="9"/>
  </si>
  <si>
    <t>玄ホウトク</t>
    <rPh sb="0" eb="1">
      <t>ゲン</t>
    </rPh>
    <phoneticPr fontId="9"/>
  </si>
  <si>
    <t>玄李儒</t>
    <rPh sb="0" eb="1">
      <t>ゲン</t>
    </rPh>
    <rPh sb="1" eb="3">
      <t>リジュ</t>
    </rPh>
    <phoneticPr fontId="9"/>
  </si>
  <si>
    <t>神迅　歩兵</t>
    <rPh sb="0" eb="1">
      <t>ジン</t>
    </rPh>
    <rPh sb="1" eb="2">
      <t>ジン</t>
    </rPh>
    <rPh sb="3" eb="5">
      <t>ホヘイ</t>
    </rPh>
    <phoneticPr fontId="9"/>
  </si>
  <si>
    <t>神迅　馬</t>
    <rPh sb="0" eb="1">
      <t>ジン</t>
    </rPh>
    <rPh sb="1" eb="2">
      <t>ジン</t>
    </rPh>
    <rPh sb="3" eb="4">
      <t>ウマ</t>
    </rPh>
    <phoneticPr fontId="9"/>
  </si>
  <si>
    <t>倉永　馬</t>
    <rPh sb="0" eb="2">
      <t>クラナガ</t>
    </rPh>
    <rPh sb="3" eb="4">
      <t>ウマ</t>
    </rPh>
    <phoneticPr fontId="9"/>
  </si>
  <si>
    <t>倉永　弓</t>
    <rPh sb="0" eb="2">
      <t>クラナガ</t>
    </rPh>
    <rPh sb="3" eb="4">
      <t>ユミ</t>
    </rPh>
    <phoneticPr fontId="9"/>
  </si>
  <si>
    <t>皇甫嵩</t>
    <rPh sb="0" eb="3">
      <t>コウホスウ</t>
    </rPh>
    <phoneticPr fontId="9"/>
  </si>
  <si>
    <t>馬技</t>
    <rPh sb="0" eb="2">
      <t>バギ</t>
    </rPh>
    <phoneticPr fontId="9"/>
  </si>
  <si>
    <t>副将</t>
    <rPh sb="0" eb="2">
      <t>フクショウ</t>
    </rPh>
    <phoneticPr fontId="9"/>
  </si>
  <si>
    <t>盛岡　弓</t>
    <rPh sb="0" eb="1">
      <t>モリ</t>
    </rPh>
    <rPh sb="1" eb="2">
      <t>オカ</t>
    </rPh>
    <rPh sb="3" eb="4">
      <t>ユミ</t>
    </rPh>
    <phoneticPr fontId="9"/>
  </si>
  <si>
    <t>盛岡　歩</t>
    <rPh sb="0" eb="2">
      <t>モリオカ</t>
    </rPh>
    <rPh sb="3" eb="4">
      <t>ホ</t>
    </rPh>
    <phoneticPr fontId="9"/>
  </si>
  <si>
    <t>玄曹彰</t>
    <rPh sb="0" eb="3">
      <t>ゲンソウショウ</t>
    </rPh>
    <phoneticPr fontId="9"/>
  </si>
  <si>
    <t>張飛娘</t>
    <rPh sb="0" eb="2">
      <t>チョウヒ</t>
    </rPh>
    <rPh sb="2" eb="3">
      <t>ムスメ</t>
    </rPh>
    <phoneticPr fontId="9"/>
  </si>
  <si>
    <t>賀斉</t>
    <rPh sb="0" eb="1">
      <t>ガ</t>
    </rPh>
    <rPh sb="1" eb="2">
      <t>サイ</t>
    </rPh>
    <phoneticPr fontId="9"/>
  </si>
  <si>
    <t>玄関羽</t>
    <rPh sb="0" eb="1">
      <t>ゲン</t>
    </rPh>
    <rPh sb="1" eb="3">
      <t>カンウ</t>
    </rPh>
    <phoneticPr fontId="9"/>
  </si>
  <si>
    <t>管輅</t>
    <rPh sb="0" eb="2">
      <t>カンロ</t>
    </rPh>
    <phoneticPr fontId="9"/>
  </si>
  <si>
    <t>姜維</t>
    <rPh sb="0" eb="2">
      <t>キョウイ</t>
    </rPh>
    <phoneticPr fontId="9"/>
  </si>
  <si>
    <t>沙摩柯</t>
    <rPh sb="0" eb="3">
      <t>シャマカ</t>
    </rPh>
    <phoneticPr fontId="9"/>
  </si>
  <si>
    <t>玄董卓</t>
    <rPh sb="0" eb="3">
      <t>ゲントウタク</t>
    </rPh>
    <phoneticPr fontId="9"/>
  </si>
  <si>
    <t>李典</t>
    <rPh sb="0" eb="2">
      <t>リテン</t>
    </rPh>
    <phoneticPr fontId="9"/>
  </si>
  <si>
    <t>馬技</t>
    <rPh sb="0" eb="2">
      <t>バ</t>
    </rPh>
    <phoneticPr fontId="9"/>
  </si>
  <si>
    <t>いま　馬</t>
    <rPh sb="3" eb="4">
      <t>ウマ</t>
    </rPh>
    <phoneticPr fontId="9"/>
  </si>
  <si>
    <t>いま　弓</t>
    <rPh sb="3" eb="4">
      <t>ユミ</t>
    </rPh>
    <phoneticPr fontId="9"/>
  </si>
  <si>
    <t>すえ　馬</t>
    <rPh sb="3" eb="4">
      <t>ウマ</t>
    </rPh>
    <phoneticPr fontId="9"/>
  </si>
  <si>
    <t>ひな　弓</t>
    <rPh sb="3" eb="4">
      <t>ユミ</t>
    </rPh>
    <phoneticPr fontId="9"/>
  </si>
  <si>
    <t>ゼンソウ</t>
    <phoneticPr fontId="9"/>
  </si>
  <si>
    <t>すえ　歩</t>
    <rPh sb="3" eb="4">
      <t>ホ</t>
    </rPh>
    <phoneticPr fontId="9"/>
  </si>
  <si>
    <t>馬技・副将</t>
    <rPh sb="0" eb="2">
      <t>バギ</t>
    </rPh>
    <rPh sb="3" eb="5">
      <t>フクショウ</t>
    </rPh>
    <phoneticPr fontId="9"/>
  </si>
  <si>
    <t>武田信玄</t>
    <rPh sb="0" eb="2">
      <t>タケダ</t>
    </rPh>
    <rPh sb="2" eb="4">
      <t>シンゲン</t>
    </rPh>
    <phoneticPr fontId="9"/>
  </si>
  <si>
    <t>玄大喬</t>
    <rPh sb="0" eb="1">
      <t>ゲン</t>
    </rPh>
    <rPh sb="1" eb="3">
      <t>ダイキョウ</t>
    </rPh>
    <phoneticPr fontId="9"/>
  </si>
  <si>
    <t>呉国</t>
    <rPh sb="0" eb="1">
      <t>ゴ</t>
    </rPh>
    <rPh sb="1" eb="2">
      <t>コク</t>
    </rPh>
    <phoneticPr fontId="9"/>
  </si>
  <si>
    <t>type　歩</t>
    <rPh sb="5" eb="6">
      <t>ホ</t>
    </rPh>
    <phoneticPr fontId="9"/>
  </si>
  <si>
    <t>type　弓</t>
    <rPh sb="5" eb="6">
      <t>ユミ</t>
    </rPh>
    <phoneticPr fontId="9"/>
  </si>
  <si>
    <t>ゴッド</t>
    <phoneticPr fontId="9"/>
  </si>
  <si>
    <t>ー</t>
    <phoneticPr fontId="9"/>
  </si>
  <si>
    <t>あら</t>
    <phoneticPr fontId="9"/>
  </si>
  <si>
    <t>あお</t>
    <phoneticPr fontId="9"/>
  </si>
  <si>
    <t>ゴッド　弓</t>
    <rPh sb="4" eb="5">
      <t>ユミ</t>
    </rPh>
    <phoneticPr fontId="9"/>
  </si>
  <si>
    <t>ゴッド　馬</t>
    <rPh sb="4" eb="5">
      <t>ウマ</t>
    </rPh>
    <phoneticPr fontId="9"/>
  </si>
  <si>
    <t>玄呂布</t>
    <rPh sb="0" eb="3">
      <t>ゲンリョフ</t>
    </rPh>
    <phoneticPr fontId="9"/>
  </si>
  <si>
    <t>玄孫堅</t>
    <rPh sb="0" eb="3">
      <t>ゲンソンケン</t>
    </rPh>
    <phoneticPr fontId="9"/>
  </si>
  <si>
    <t>ナギ　歩</t>
    <rPh sb="3" eb="4">
      <t>ホ</t>
    </rPh>
    <phoneticPr fontId="9"/>
  </si>
  <si>
    <t>織田信長</t>
    <rPh sb="0" eb="4">
      <t>オダノブナガ</t>
    </rPh>
    <phoneticPr fontId="9"/>
  </si>
  <si>
    <t>武田信玄</t>
    <rPh sb="0" eb="4">
      <t>タケダシンゲン</t>
    </rPh>
    <phoneticPr fontId="9"/>
  </si>
  <si>
    <t>真田幸村</t>
    <rPh sb="0" eb="4">
      <t>サナダユキムラ</t>
    </rPh>
    <phoneticPr fontId="9"/>
  </si>
  <si>
    <t>玄甘寧</t>
    <rPh sb="0" eb="3">
      <t>ゲンカンネイ</t>
    </rPh>
    <phoneticPr fontId="9"/>
  </si>
  <si>
    <t>袁紹</t>
    <rPh sb="0" eb="2">
      <t>エンショウ</t>
    </rPh>
    <phoneticPr fontId="9"/>
  </si>
  <si>
    <t>シンピ</t>
    <phoneticPr fontId="9"/>
  </si>
  <si>
    <t>斗茂　馬</t>
    <rPh sb="0" eb="1">
      <t>ト</t>
    </rPh>
    <rPh sb="1" eb="2">
      <t>モ</t>
    </rPh>
    <rPh sb="3" eb="4">
      <t>ウマ</t>
    </rPh>
    <phoneticPr fontId="9"/>
  </si>
  <si>
    <t>斗茂　馬2</t>
    <rPh sb="0" eb="1">
      <t>ト</t>
    </rPh>
    <rPh sb="1" eb="2">
      <t>モ</t>
    </rPh>
    <rPh sb="3" eb="4">
      <t>ウマ</t>
    </rPh>
    <phoneticPr fontId="9"/>
  </si>
  <si>
    <t>斗茂　歩</t>
    <rPh sb="0" eb="1">
      <t>ト</t>
    </rPh>
    <rPh sb="1" eb="2">
      <t>モ</t>
    </rPh>
    <rPh sb="3" eb="4">
      <t>ホ</t>
    </rPh>
    <phoneticPr fontId="9"/>
  </si>
  <si>
    <t>ナギ　弓</t>
    <rPh sb="3" eb="4">
      <t>ユミ</t>
    </rPh>
    <phoneticPr fontId="9"/>
  </si>
  <si>
    <t>玄張飛</t>
    <rPh sb="0" eb="3">
      <t>ゲンチョウヒ</t>
    </rPh>
    <phoneticPr fontId="9"/>
  </si>
  <si>
    <t>玄大喬</t>
    <rPh sb="0" eb="3">
      <t>ゲンダイキョウ</t>
    </rPh>
    <phoneticPr fontId="9"/>
  </si>
  <si>
    <t>玄ﾎｳﾄｸ</t>
    <rPh sb="0" eb="1">
      <t>ゲン</t>
    </rPh>
    <phoneticPr fontId="9"/>
  </si>
  <si>
    <t>玄太史慈</t>
    <rPh sb="0" eb="4">
      <t>ゲンタイシジ</t>
    </rPh>
    <phoneticPr fontId="9"/>
  </si>
  <si>
    <t>閻行</t>
    <rPh sb="0" eb="2">
      <t>エンコウ</t>
    </rPh>
    <phoneticPr fontId="9"/>
  </si>
  <si>
    <t>玄魏延</t>
    <rPh sb="0" eb="3">
      <t>ゲンギエン</t>
    </rPh>
    <phoneticPr fontId="9"/>
  </si>
  <si>
    <t>中哲　弓</t>
    <rPh sb="0" eb="2">
      <t>ナカテツ</t>
    </rPh>
    <rPh sb="3" eb="4">
      <t>ユミ</t>
    </rPh>
    <phoneticPr fontId="9"/>
  </si>
  <si>
    <t>黄月英</t>
    <rPh sb="0" eb="3">
      <t>コウゲツエイ</t>
    </rPh>
    <phoneticPr fontId="9"/>
  </si>
  <si>
    <t>玄曹操</t>
    <rPh sb="0" eb="3">
      <t>ゲンソウソウ</t>
    </rPh>
    <phoneticPr fontId="9"/>
  </si>
  <si>
    <t>楽進・鄧艾</t>
    <rPh sb="0" eb="2">
      <t>ガクシン</t>
    </rPh>
    <rPh sb="3" eb="5">
      <t>トウガイ</t>
    </rPh>
    <phoneticPr fontId="9"/>
  </si>
  <si>
    <t>すえ　弓</t>
    <rPh sb="3" eb="4">
      <t>ユミ</t>
    </rPh>
    <phoneticPr fontId="9"/>
  </si>
  <si>
    <t>いま　歩</t>
    <rPh sb="3" eb="4">
      <t>ホ</t>
    </rPh>
    <phoneticPr fontId="9"/>
  </si>
  <si>
    <t>ひな　馬</t>
    <rPh sb="3" eb="4">
      <t>ウマ</t>
    </rPh>
    <phoneticPr fontId="9"/>
  </si>
  <si>
    <t>武力UP</t>
    <rPh sb="0" eb="2">
      <t>ブリョク</t>
    </rPh>
    <phoneticPr fontId="9"/>
  </si>
  <si>
    <t>辛ピ</t>
    <rPh sb="0" eb="1">
      <t>シン</t>
    </rPh>
    <phoneticPr fontId="9"/>
  </si>
  <si>
    <t>呉国太</t>
    <rPh sb="0" eb="1">
      <t>ゴ</t>
    </rPh>
    <rPh sb="1" eb="2">
      <t>コク</t>
    </rPh>
    <rPh sb="2" eb="3">
      <t>タイ</t>
    </rPh>
    <phoneticPr fontId="9"/>
  </si>
  <si>
    <t>織田信長</t>
    <rPh sb="0" eb="2">
      <t>オダ</t>
    </rPh>
    <rPh sb="2" eb="4">
      <t>ノブナガ</t>
    </rPh>
    <phoneticPr fontId="9"/>
  </si>
  <si>
    <t>陳登</t>
    <rPh sb="0" eb="2">
      <t>チントウ</t>
    </rPh>
    <phoneticPr fontId="9"/>
  </si>
  <si>
    <t>玄高順</t>
    <rPh sb="0" eb="1">
      <t>ゲン</t>
    </rPh>
    <rPh sb="1" eb="2">
      <t>タカ</t>
    </rPh>
    <rPh sb="2" eb="3">
      <t>ジュン</t>
    </rPh>
    <phoneticPr fontId="9"/>
  </si>
  <si>
    <t>玄諸葛亮</t>
    <rPh sb="0" eb="4">
      <t>ゲンショカツリョウ</t>
    </rPh>
    <phoneticPr fontId="9"/>
  </si>
  <si>
    <t>玄郭嘉</t>
    <rPh sb="0" eb="3">
      <t>ゲンカクカ</t>
    </rPh>
    <phoneticPr fontId="9"/>
  </si>
  <si>
    <t>玄文鴦</t>
    <rPh sb="0" eb="1">
      <t>ゲン</t>
    </rPh>
    <rPh sb="1" eb="3">
      <t>ブンオウ</t>
    </rPh>
    <phoneticPr fontId="9"/>
  </si>
  <si>
    <t>王允</t>
    <rPh sb="0" eb="2">
      <t>オウイン</t>
    </rPh>
    <phoneticPr fontId="9"/>
  </si>
  <si>
    <t>あらなみ</t>
    <phoneticPr fontId="9"/>
  </si>
  <si>
    <t>ナギ</t>
    <phoneticPr fontId="9"/>
  </si>
  <si>
    <t>斗茂</t>
    <rPh sb="0" eb="1">
      <t>ト</t>
    </rPh>
    <rPh sb="1" eb="2">
      <t>モ</t>
    </rPh>
    <phoneticPr fontId="9"/>
  </si>
  <si>
    <t>ショウ</t>
    <phoneticPr fontId="9"/>
  </si>
  <si>
    <t>沙摩柯</t>
    <rPh sb="0" eb="3">
      <t>シャマカ</t>
    </rPh>
    <phoneticPr fontId="9"/>
  </si>
  <si>
    <t>賀斉</t>
    <rPh sb="0" eb="1">
      <t>ガ</t>
    </rPh>
    <rPh sb="1" eb="2">
      <t>サイ</t>
    </rPh>
    <phoneticPr fontId="9"/>
  </si>
  <si>
    <t>あおば</t>
    <phoneticPr fontId="9"/>
  </si>
  <si>
    <t>陸遜</t>
    <rPh sb="0" eb="2">
      <t>リクソン</t>
    </rPh>
    <phoneticPr fontId="9"/>
  </si>
  <si>
    <t>左慈</t>
    <rPh sb="0" eb="2">
      <t>サジ</t>
    </rPh>
    <phoneticPr fontId="9"/>
  </si>
  <si>
    <t>関羽</t>
    <phoneticPr fontId="9"/>
  </si>
  <si>
    <t>青葉　馬２</t>
    <rPh sb="0" eb="2">
      <t>アオバ</t>
    </rPh>
    <rPh sb="3" eb="4">
      <t>ウマ</t>
    </rPh>
    <phoneticPr fontId="9"/>
  </si>
  <si>
    <t>しんぴ</t>
    <phoneticPr fontId="9"/>
  </si>
  <si>
    <t>ナギ　馬</t>
    <rPh sb="3" eb="4">
      <t>ウマ</t>
    </rPh>
    <phoneticPr fontId="9"/>
  </si>
  <si>
    <t>中哲　馬</t>
    <rPh sb="0" eb="2">
      <t>ナカテツ</t>
    </rPh>
    <rPh sb="3" eb="4">
      <t>ウマ</t>
    </rPh>
    <phoneticPr fontId="9"/>
  </si>
  <si>
    <t>中哲　歩</t>
    <rPh sb="0" eb="2">
      <t>ナカテツ</t>
    </rPh>
    <rPh sb="3" eb="4">
      <t>ホ</t>
    </rPh>
    <phoneticPr fontId="9"/>
  </si>
  <si>
    <t>トウトン</t>
    <phoneticPr fontId="9"/>
  </si>
  <si>
    <t>戯志才</t>
    <rPh sb="0" eb="3">
      <t>ギシサイ</t>
    </rPh>
    <phoneticPr fontId="9"/>
  </si>
  <si>
    <t>毘山　歩</t>
    <rPh sb="0" eb="2">
      <t>ビヤマ</t>
    </rPh>
    <rPh sb="3" eb="4">
      <t>ホ</t>
    </rPh>
    <phoneticPr fontId="9"/>
  </si>
  <si>
    <t>毘山　馬</t>
    <rPh sb="0" eb="2">
      <t>ビヤマ</t>
    </rPh>
    <rPh sb="3" eb="4">
      <t>ウマ</t>
    </rPh>
    <phoneticPr fontId="9"/>
  </si>
  <si>
    <t>孫権、孔明</t>
    <rPh sb="0" eb="2">
      <t>ソンケン</t>
    </rPh>
    <rPh sb="3" eb="5">
      <t>コウメイ</t>
    </rPh>
    <phoneticPr fontId="9"/>
  </si>
  <si>
    <t>あらなみ　馬弓</t>
    <rPh sb="5" eb="6">
      <t>ウマ</t>
    </rPh>
    <rPh sb="6" eb="7">
      <t>ユミ</t>
    </rPh>
    <phoneticPr fontId="9"/>
  </si>
  <si>
    <t>ショウ　馬</t>
    <rPh sb="4" eb="5">
      <t>ウマ</t>
    </rPh>
    <phoneticPr fontId="9"/>
  </si>
  <si>
    <t>ショウ　弓</t>
    <rPh sb="4" eb="5">
      <t>ユミ</t>
    </rPh>
    <phoneticPr fontId="9"/>
  </si>
  <si>
    <t>ひさおん　馬</t>
    <rPh sb="5" eb="6">
      <t>ウマ</t>
    </rPh>
    <phoneticPr fontId="9"/>
  </si>
  <si>
    <t>伊達政宗</t>
    <rPh sb="0" eb="2">
      <t>ダテ</t>
    </rPh>
    <rPh sb="2" eb="4">
      <t>マサムネ</t>
    </rPh>
    <phoneticPr fontId="9"/>
  </si>
  <si>
    <t>魏延</t>
    <rPh sb="0" eb="2">
      <t>ギエン</t>
    </rPh>
    <phoneticPr fontId="9"/>
  </si>
  <si>
    <t>馬超</t>
    <rPh sb="0" eb="2">
      <t>バチョウ</t>
    </rPh>
    <phoneticPr fontId="9"/>
  </si>
  <si>
    <t>カク</t>
    <phoneticPr fontId="9"/>
  </si>
  <si>
    <t>孫策</t>
    <rPh sb="0" eb="2">
      <t>ソンサク</t>
    </rPh>
    <phoneticPr fontId="9"/>
  </si>
  <si>
    <t>馬岱</t>
    <rPh sb="0" eb="2">
      <t>バタイ</t>
    </rPh>
    <phoneticPr fontId="9"/>
  </si>
  <si>
    <t>玄劉備</t>
    <rPh sb="0" eb="1">
      <t>ゲン</t>
    </rPh>
    <rPh sb="1" eb="3">
      <t>リュウビ</t>
    </rPh>
    <phoneticPr fontId="9"/>
  </si>
  <si>
    <t>劉焉</t>
    <rPh sb="0" eb="2">
      <t>リュウエン</t>
    </rPh>
    <phoneticPr fontId="9"/>
  </si>
  <si>
    <t>玄李典</t>
    <rPh sb="0" eb="1">
      <t>ゲン</t>
    </rPh>
    <rPh sb="1" eb="3">
      <t>リテン</t>
    </rPh>
    <phoneticPr fontId="9"/>
  </si>
  <si>
    <t>劉寵</t>
    <rPh sb="0" eb="1">
      <t>リュウ</t>
    </rPh>
    <rPh sb="1" eb="2">
      <t>チョウ</t>
    </rPh>
    <phoneticPr fontId="9"/>
  </si>
  <si>
    <t>倉永　歩</t>
    <rPh sb="0" eb="2">
      <t>クラナガ</t>
    </rPh>
    <rPh sb="3" eb="4">
      <t>ホ</t>
    </rPh>
    <phoneticPr fontId="9"/>
  </si>
  <si>
    <t>毘山</t>
    <rPh sb="0" eb="1">
      <t>ビ</t>
    </rPh>
    <rPh sb="1" eb="2">
      <t>ヤマ</t>
    </rPh>
    <phoneticPr fontId="9"/>
  </si>
  <si>
    <t>ひさ</t>
    <phoneticPr fontId="9"/>
  </si>
  <si>
    <t>玄文鴦</t>
    <rPh sb="0" eb="1">
      <t>ゲン</t>
    </rPh>
    <rPh sb="1" eb="3">
      <t>ブンオウ</t>
    </rPh>
    <phoneticPr fontId="9"/>
  </si>
  <si>
    <t>統率</t>
    <phoneticPr fontId="9"/>
  </si>
  <si>
    <t>副将</t>
    <rPh sb="0" eb="2">
      <t>フクショウ</t>
    </rPh>
    <phoneticPr fontId="9"/>
  </si>
  <si>
    <t>武将有無(突破〇/装備◎/副将レベル数字)</t>
    <rPh sb="5" eb="7">
      <t>トッパ</t>
    </rPh>
    <rPh sb="13" eb="15">
      <t>フクショウ</t>
    </rPh>
    <rPh sb="18" eb="20">
      <t>スウジ</t>
    </rPh>
    <phoneticPr fontId="9"/>
  </si>
  <si>
    <t>被抑制40%減（上限80%）、貫通20%減（上限50%）</t>
    <rPh sb="0" eb="1">
      <t>ヒ</t>
    </rPh>
    <phoneticPr fontId="9"/>
  </si>
  <si>
    <t>〇</t>
    <phoneticPr fontId="9"/>
  </si>
  <si>
    <t>玄黄忠</t>
    <rPh sb="0" eb="1">
      <t>ゲン</t>
    </rPh>
    <rPh sb="1" eb="3">
      <t>コウチュウ</t>
    </rPh>
    <phoneticPr fontId="9"/>
  </si>
  <si>
    <t>〇</t>
    <phoneticPr fontId="9"/>
  </si>
  <si>
    <t>〇10</t>
    <phoneticPr fontId="9"/>
  </si>
  <si>
    <t>◎</t>
    <phoneticPr fontId="9"/>
  </si>
  <si>
    <t>〇6</t>
    <phoneticPr fontId="9"/>
  </si>
  <si>
    <t>戯志才</t>
    <rPh sb="0" eb="3">
      <t>ギシサイ</t>
    </rPh>
    <phoneticPr fontId="9"/>
  </si>
  <si>
    <t>知性</t>
    <phoneticPr fontId="9"/>
  </si>
  <si>
    <t>シールドUP馬比率×40％増(上限50％)</t>
    <rPh sb="6" eb="9">
      <t>ウマヒリツ</t>
    </rPh>
    <rPh sb="13" eb="14">
      <t>ゾウ</t>
    </rPh>
    <rPh sb="15" eb="17">
      <t>ジョウゲン</t>
    </rPh>
    <phoneticPr fontId="9"/>
  </si>
  <si>
    <t>玄高順</t>
    <rPh sb="1" eb="2">
      <t>タカ</t>
    </rPh>
    <rPh sb="2" eb="3">
      <t>ジュン</t>
    </rPh>
    <phoneticPr fontId="9"/>
  </si>
  <si>
    <t>馬技スキル強化→編成時の抵抗5％UP（累計10％）</t>
    <rPh sb="0" eb="2">
      <t>バギ</t>
    </rPh>
    <rPh sb="5" eb="7">
      <t>キョウカ</t>
    </rPh>
    <rPh sb="8" eb="11">
      <t>ヘンセイジ</t>
    </rPh>
    <rPh sb="12" eb="14">
      <t>テイコウ</t>
    </rPh>
    <rPh sb="19" eb="21">
      <t>ルイケイ</t>
    </rPh>
    <phoneticPr fontId="9"/>
  </si>
  <si>
    <t>馬技スキル強化→編成時の連撃5％UP（累計10％）</t>
    <rPh sb="0" eb="2">
      <t>バギ</t>
    </rPh>
    <rPh sb="5" eb="7">
      <t>キョウカ</t>
    </rPh>
    <rPh sb="8" eb="11">
      <t>ヘンセイジ</t>
    </rPh>
    <rPh sb="12" eb="14">
      <t>レンゲキ</t>
    </rPh>
    <rPh sb="19" eb="21">
      <t>ルイケイ</t>
    </rPh>
    <phoneticPr fontId="9"/>
  </si>
  <si>
    <t>連撃</t>
    <rPh sb="0" eb="2">
      <t>レンゲキ</t>
    </rPh>
    <phoneticPr fontId="9"/>
  </si>
  <si>
    <t>抵抗</t>
    <rPh sb="0" eb="2">
      <t>テイコウ</t>
    </rPh>
    <phoneticPr fontId="9"/>
  </si>
  <si>
    <t>貫通</t>
    <rPh sb="0" eb="2">
      <t>カンツウ</t>
    </rPh>
    <phoneticPr fontId="9"/>
  </si>
  <si>
    <t>玄許褚</t>
    <rPh sb="0" eb="1">
      <t>ゲン</t>
    </rPh>
    <rPh sb="1" eb="2">
      <t>キョ</t>
    </rPh>
    <rPh sb="2" eb="3">
      <t>チョ</t>
    </rPh>
    <phoneticPr fontId="9"/>
  </si>
  <si>
    <t>MAX</t>
    <phoneticPr fontId="9"/>
  </si>
  <si>
    <t>あれば諸葛</t>
    <rPh sb="3" eb="5">
      <t>ショカツ</t>
    </rPh>
    <phoneticPr fontId="9"/>
  </si>
  <si>
    <t>毘</t>
    <rPh sb="0" eb="1">
      <t>ビ</t>
    </rPh>
    <phoneticPr fontId="9"/>
  </si>
  <si>
    <t>斗</t>
    <rPh sb="0" eb="1">
      <t>ト</t>
    </rPh>
    <phoneticPr fontId="9"/>
  </si>
  <si>
    <t>馬１</t>
    <rPh sb="0" eb="1">
      <t>ウマ</t>
    </rPh>
    <phoneticPr fontId="9"/>
  </si>
  <si>
    <t>馬２</t>
    <rPh sb="0" eb="1">
      <t>ウマ</t>
    </rPh>
    <phoneticPr fontId="9"/>
  </si>
  <si>
    <t>歩１</t>
    <rPh sb="0" eb="1">
      <t>ホ</t>
    </rPh>
    <phoneticPr fontId="9"/>
  </si>
  <si>
    <t>玄孫堅</t>
    <phoneticPr fontId="9"/>
  </si>
  <si>
    <t>〇4</t>
    <phoneticPr fontId="9"/>
  </si>
  <si>
    <t>〇３</t>
    <phoneticPr fontId="9"/>
  </si>
  <si>
    <t>とうとん</t>
    <phoneticPr fontId="9"/>
  </si>
  <si>
    <t>毘　弓の場合</t>
    <rPh sb="0" eb="1">
      <t>ビ</t>
    </rPh>
    <rPh sb="2" eb="3">
      <t>ユミ</t>
    </rPh>
    <rPh sb="4" eb="6">
      <t>バアイ</t>
    </rPh>
    <phoneticPr fontId="9"/>
  </si>
  <si>
    <t>貫通抵抗</t>
    <rPh sb="0" eb="4">
      <t>カンツウテイコウ</t>
    </rPh>
    <phoneticPr fontId="9"/>
  </si>
  <si>
    <t>陳武</t>
    <rPh sb="0" eb="2">
      <t>チンブ</t>
    </rPh>
    <phoneticPr fontId="9"/>
  </si>
  <si>
    <t>ひさおん　弓</t>
    <rPh sb="5" eb="6">
      <t>ユミ</t>
    </rPh>
    <phoneticPr fontId="9"/>
  </si>
  <si>
    <t>ひさおん　歩</t>
    <rPh sb="5" eb="6">
      <t>ホ</t>
    </rPh>
    <phoneticPr fontId="9"/>
  </si>
  <si>
    <t>ショウ　歩</t>
    <rPh sb="4" eb="5">
      <t>ホ</t>
    </rPh>
    <phoneticPr fontId="9"/>
  </si>
  <si>
    <t>青葉　歩</t>
    <rPh sb="0" eb="2">
      <t>アオバ</t>
    </rPh>
    <rPh sb="3" eb="4">
      <t>ホ</t>
    </rPh>
    <phoneticPr fontId="9"/>
  </si>
  <si>
    <t>青葉　馬2</t>
    <rPh sb="0" eb="2">
      <t>アオバ</t>
    </rPh>
    <rPh sb="3" eb="4">
      <t>ウマ</t>
    </rPh>
    <phoneticPr fontId="9"/>
  </si>
  <si>
    <t>張コウ</t>
    <rPh sb="0" eb="1">
      <t>チョウ</t>
    </rPh>
    <phoneticPr fontId="9"/>
  </si>
  <si>
    <t>玄孫権</t>
    <rPh sb="0" eb="3">
      <t>ゲンソンケン</t>
    </rPh>
    <phoneticPr fontId="9"/>
  </si>
  <si>
    <t>周泰</t>
    <rPh sb="0" eb="2">
      <t>シュウタイ</t>
    </rPh>
    <phoneticPr fontId="9"/>
  </si>
  <si>
    <t>楊洪</t>
    <rPh sb="0" eb="2">
      <t>ヨウコウ</t>
    </rPh>
    <phoneticPr fontId="9"/>
  </si>
  <si>
    <t>typeA</t>
    <phoneticPr fontId="9"/>
  </si>
  <si>
    <t>倉　弓の場合</t>
    <rPh sb="0" eb="1">
      <t>クラ</t>
    </rPh>
    <rPh sb="2" eb="3">
      <t>ユミ</t>
    </rPh>
    <rPh sb="4" eb="6">
      <t>バアイ</t>
    </rPh>
    <phoneticPr fontId="9"/>
  </si>
  <si>
    <t>※</t>
    <phoneticPr fontId="9"/>
  </si>
  <si>
    <t>※馬技なし</t>
    <rPh sb="1" eb="3">
      <t>バギ</t>
    </rPh>
    <phoneticPr fontId="9"/>
  </si>
  <si>
    <t>倉　馬の場合</t>
    <rPh sb="0" eb="1">
      <t>クラ</t>
    </rPh>
    <rPh sb="2" eb="3">
      <t>ウマ</t>
    </rPh>
    <rPh sb="4" eb="6">
      <t>バアイ</t>
    </rPh>
    <phoneticPr fontId="9"/>
  </si>
  <si>
    <t>玄黄忠</t>
    <phoneticPr fontId="9"/>
  </si>
  <si>
    <t>※司馬炎</t>
    <rPh sb="1" eb="4">
      <t>シバエン</t>
    </rPh>
    <phoneticPr fontId="9"/>
  </si>
  <si>
    <t>荀攸or典韋</t>
    <rPh sb="0" eb="2">
      <t>ジュンユウ</t>
    </rPh>
    <rPh sb="4" eb="6">
      <t>テンイ</t>
    </rPh>
    <phoneticPr fontId="9"/>
  </si>
  <si>
    <t>貫通抵抗</t>
    <rPh sb="0" eb="2">
      <t>カンツウ</t>
    </rPh>
    <rPh sb="2" eb="4">
      <t>テイコウ</t>
    </rPh>
    <phoneticPr fontId="9"/>
  </si>
  <si>
    <t>武府</t>
    <rPh sb="0" eb="2">
      <t>ブフ</t>
    </rPh>
    <phoneticPr fontId="9"/>
  </si>
  <si>
    <t>太虚</t>
    <rPh sb="0" eb="2">
      <t>タイキョ</t>
    </rPh>
    <phoneticPr fontId="9"/>
  </si>
  <si>
    <t>蔵星</t>
    <rPh sb="0" eb="1">
      <t>クラ</t>
    </rPh>
    <rPh sb="1" eb="2">
      <t>ホシ</t>
    </rPh>
    <phoneticPr fontId="9"/>
  </si>
  <si>
    <t>風</t>
    <rPh sb="0" eb="1">
      <t>カゼ</t>
    </rPh>
    <phoneticPr fontId="9"/>
  </si>
  <si>
    <t>連抗</t>
    <rPh sb="0" eb="1">
      <t>レン</t>
    </rPh>
    <rPh sb="1" eb="2">
      <t>コウ</t>
    </rPh>
    <phoneticPr fontId="9"/>
  </si>
  <si>
    <t>雲　連撃</t>
    <rPh sb="0" eb="1">
      <t>クモ</t>
    </rPh>
    <rPh sb="2" eb="4">
      <t>レンゲキ</t>
    </rPh>
    <phoneticPr fontId="9"/>
  </si>
  <si>
    <t>雲　抵抗</t>
    <rPh sb="0" eb="1">
      <t>クモ</t>
    </rPh>
    <rPh sb="2" eb="4">
      <t>テイコウ</t>
    </rPh>
    <phoneticPr fontId="9"/>
  </si>
  <si>
    <t>玄馬雲禄</t>
    <phoneticPr fontId="9"/>
  </si>
  <si>
    <t>あらなみ　馬</t>
    <rPh sb="5" eb="6">
      <t>ウマ</t>
    </rPh>
    <phoneticPr fontId="9"/>
  </si>
  <si>
    <t>あらなみ　歩</t>
    <rPh sb="5" eb="6">
      <t>ホ</t>
    </rPh>
    <phoneticPr fontId="9"/>
  </si>
  <si>
    <t>あらなみ　弓</t>
    <rPh sb="5" eb="6">
      <t>ユミ</t>
    </rPh>
    <phoneticPr fontId="9"/>
  </si>
  <si>
    <t>※閻行</t>
    <rPh sb="1" eb="3">
      <t>エンコウ</t>
    </rPh>
    <phoneticPr fontId="9"/>
  </si>
  <si>
    <t>倉さんの入る場合</t>
    <rPh sb="0" eb="1">
      <t>クラ</t>
    </rPh>
    <rPh sb="4" eb="5">
      <t>ハイ</t>
    </rPh>
    <rPh sb="6" eb="8">
      <t>バアイ</t>
    </rPh>
    <phoneticPr fontId="9"/>
  </si>
  <si>
    <t>→</t>
    <phoneticPr fontId="9"/>
  </si>
  <si>
    <t>賀斉</t>
    <rPh sb="0" eb="2">
      <t>ガサイ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</si>
</sst>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1"/>
      <color rgb="FF000000"/>
      <name val="Meiryo"/>
      <family val="3"/>
      <charset val="128"/>
    </font>
    <font>
      <sz val="10"/>
      <name val="Arial"/>
      <family val="2"/>
    </font>
    <font>
      <sz val="10"/>
      <color theme="1"/>
      <name val="Meiryo"/>
      <family val="3"/>
      <charset val="128"/>
    </font>
    <font>
      <sz val="11"/>
      <color rgb="FF000000"/>
      <name val="Meiryo"/>
      <family val="3"/>
      <charset val="128"/>
    </font>
    <font>
      <sz val="11"/>
      <color theme="1"/>
      <name val="Meiryo"/>
      <family val="3"/>
      <charset val="128"/>
    </font>
    <font>
      <sz val="10"/>
      <color theme="1"/>
      <name val="Arial"/>
      <family val="2"/>
    </font>
    <font>
      <sz val="10"/>
      <color rgb="FFFF0000"/>
      <name val="Meiryo"/>
      <family val="3"/>
      <charset val="128"/>
    </font>
    <font>
      <sz val="11"/>
      <color rgb="FFFF0000"/>
      <name val="Meiryo"/>
      <family val="3"/>
      <charset val="128"/>
    </font>
    <font>
      <sz val="6"/>
      <name val="Arial"/>
      <family val="3"/>
      <charset val="128"/>
      <scheme val="minor"/>
    </font>
    <font>
      <sz val="11"/>
      <color rgb="FF000000"/>
      <name val="Segoe UI Symbol"/>
      <family val="3"/>
    </font>
    <font>
      <sz val="10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0"/>
      <name val="Meiryo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BIZ UD明朝 Medium"/>
      <family val="1"/>
      <charset val="128"/>
    </font>
    <font>
      <sz val="10"/>
      <color rgb="FF000000"/>
      <name val="ＭＳ Ｐ明朝"/>
      <family val="1"/>
      <charset val="128"/>
    </font>
    <font>
      <sz val="22"/>
      <color rgb="FF000000"/>
      <name val="Arial"/>
      <family val="2"/>
      <scheme val="minor"/>
    </font>
    <font>
      <sz val="2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0" tint="-4.9989318521683403E-2"/>
        <bgColor rgb="FFD9E1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6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0" fontId="3" fillId="0" borderId="0" xfId="0" applyFo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9" xfId="0" applyFont="1" applyBorder="1"/>
    <xf numFmtId="9" fontId="4" fillId="0" borderId="9" xfId="0" applyNumberFormat="1" applyFont="1" applyBorder="1"/>
    <xf numFmtId="0" fontId="4" fillId="0" borderId="11" xfId="0" applyFont="1" applyBorder="1"/>
    <xf numFmtId="9" fontId="3" fillId="0" borderId="0" xfId="0" applyNumberFormat="1" applyFont="1"/>
    <xf numFmtId="0" fontId="4" fillId="0" borderId="8" xfId="0" applyFont="1" applyBorder="1"/>
    <xf numFmtId="0" fontId="4" fillId="3" borderId="6" xfId="0" applyFont="1" applyFill="1" applyBorder="1" applyAlignment="1">
      <alignment horizontal="center"/>
    </xf>
    <xf numFmtId="0" fontId="6" fillId="0" borderId="9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3" xfId="0" applyFont="1" applyBorder="1"/>
    <xf numFmtId="0" fontId="5" fillId="0" borderId="11" xfId="0" applyFont="1" applyBorder="1"/>
    <xf numFmtId="0" fontId="4" fillId="0" borderId="11" xfId="0" applyFont="1" applyBorder="1" applyAlignment="1">
      <alignment horizontal="center"/>
    </xf>
    <xf numFmtId="0" fontId="8" fillId="4" borderId="6" xfId="0" applyFont="1" applyFill="1" applyBorder="1" applyAlignment="1">
      <alignment horizontal="left"/>
    </xf>
    <xf numFmtId="0" fontId="11" fillId="0" borderId="0" xfId="0" applyFont="1"/>
    <xf numFmtId="0" fontId="11" fillId="0" borderId="16" xfId="0" applyFont="1" applyBorder="1"/>
    <xf numFmtId="9" fontId="11" fillId="0" borderId="16" xfId="0" applyNumberFormat="1" applyFont="1" applyBorder="1"/>
    <xf numFmtId="0" fontId="12" fillId="2" borderId="16" xfId="0" applyFont="1" applyFill="1" applyBorder="1" applyAlignment="1">
      <alignment horizontal="center"/>
    </xf>
    <xf numFmtId="0" fontId="12" fillId="0" borderId="0" xfId="0" applyFont="1"/>
    <xf numFmtId="0" fontId="12" fillId="6" borderId="16" xfId="0" applyFont="1" applyFill="1" applyBorder="1" applyAlignment="1">
      <alignment horizontal="center"/>
    </xf>
    <xf numFmtId="0" fontId="4" fillId="3" borderId="10" xfId="0" applyFont="1" applyFill="1" applyBorder="1"/>
    <xf numFmtId="0" fontId="4" fillId="3" borderId="10" xfId="0" applyFont="1" applyFill="1" applyBorder="1" applyAlignment="1">
      <alignment horizontal="center"/>
    </xf>
    <xf numFmtId="0" fontId="4" fillId="3" borderId="17" xfId="0" applyFont="1" applyFill="1" applyBorder="1"/>
    <xf numFmtId="0" fontId="4" fillId="0" borderId="18" xfId="0" applyFont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4" fillId="9" borderId="10" xfId="0" applyFont="1" applyFill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5" fillId="9" borderId="2" xfId="0" applyFont="1" applyFill="1" applyBorder="1"/>
    <xf numFmtId="0" fontId="4" fillId="8" borderId="10" xfId="0" applyFont="1" applyFill="1" applyBorder="1" applyAlignment="1">
      <alignment horizontal="left"/>
    </xf>
    <xf numFmtId="0" fontId="4" fillId="8" borderId="16" xfId="0" applyFont="1" applyFill="1" applyBorder="1" applyAlignment="1">
      <alignment horizontal="left"/>
    </xf>
    <xf numFmtId="0" fontId="5" fillId="8" borderId="2" xfId="0" applyFont="1" applyFill="1" applyBorder="1"/>
    <xf numFmtId="9" fontId="3" fillId="0" borderId="0" xfId="1" applyFont="1" applyAlignment="1"/>
    <xf numFmtId="0" fontId="4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4" fillId="3" borderId="20" xfId="0" applyFont="1" applyFill="1" applyBorder="1"/>
    <xf numFmtId="0" fontId="1" fillId="5" borderId="20" xfId="0" applyFont="1" applyFill="1" applyBorder="1" applyAlignment="1">
      <alignment horizontal="center"/>
    </xf>
    <xf numFmtId="0" fontId="4" fillId="3" borderId="18" xfId="0" applyFont="1" applyFill="1" applyBorder="1"/>
    <xf numFmtId="0" fontId="1" fillId="5" borderId="18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1" xfId="0" applyFont="1" applyFill="1" applyBorder="1" applyAlignment="1">
      <alignment horizontal="center"/>
    </xf>
    <xf numFmtId="0" fontId="5" fillId="0" borderId="14" xfId="0" applyFont="1" applyBorder="1"/>
    <xf numFmtId="0" fontId="1" fillId="5" borderId="11" xfId="0" applyFont="1" applyFill="1" applyBorder="1"/>
    <xf numFmtId="0" fontId="1" fillId="5" borderId="18" xfId="0" applyFont="1" applyFill="1" applyBorder="1"/>
    <xf numFmtId="0" fontId="18" fillId="0" borderId="0" xfId="0" applyFont="1"/>
    <xf numFmtId="38" fontId="0" fillId="0" borderId="0" xfId="2" applyFont="1" applyAlignment="1"/>
    <xf numFmtId="0" fontId="19" fillId="0" borderId="0" xfId="0" applyFont="1"/>
    <xf numFmtId="38" fontId="14" fillId="0" borderId="0" xfId="2" applyFont="1" applyAlignment="1"/>
    <xf numFmtId="0" fontId="1" fillId="5" borderId="10" xfId="0" applyFont="1" applyFill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15" xfId="0" applyFont="1" applyBorder="1" applyAlignment="1">
      <alignment horizontal="center"/>
    </xf>
    <xf numFmtId="0" fontId="20" fillId="0" borderId="15" xfId="0" applyFont="1" applyBorder="1"/>
    <xf numFmtId="0" fontId="20" fillId="0" borderId="27" xfId="0" applyFont="1" applyBorder="1"/>
    <xf numFmtId="0" fontId="20" fillId="0" borderId="28" xfId="0" applyFont="1" applyBorder="1" applyAlignment="1">
      <alignment horizontal="center"/>
    </xf>
    <xf numFmtId="0" fontId="20" fillId="0" borderId="28" xfId="0" applyFont="1" applyBorder="1"/>
    <xf numFmtId="0" fontId="0" fillId="0" borderId="28" xfId="0" applyBorder="1"/>
    <xf numFmtId="0" fontId="0" fillId="0" borderId="29" xfId="0" applyBorder="1"/>
    <xf numFmtId="0" fontId="20" fillId="0" borderId="30" xfId="0" applyFont="1" applyBorder="1"/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right"/>
    </xf>
    <xf numFmtId="0" fontId="20" fillId="0" borderId="15" xfId="0" applyFont="1" applyBorder="1" applyAlignment="1">
      <alignment horizontal="right"/>
    </xf>
    <xf numFmtId="0" fontId="0" fillId="0" borderId="15" xfId="0" applyBorder="1"/>
    <xf numFmtId="0" fontId="0" fillId="0" borderId="31" xfId="0" applyBorder="1"/>
    <xf numFmtId="0" fontId="20" fillId="0" borderId="32" xfId="0" applyFont="1" applyBorder="1" applyAlignment="1">
      <alignment horizontal="right"/>
    </xf>
    <xf numFmtId="0" fontId="20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20" fillId="0" borderId="29" xfId="0" applyFont="1" applyBorder="1"/>
    <xf numFmtId="0" fontId="20" fillId="0" borderId="34" xfId="0" applyFont="1" applyBorder="1" applyAlignment="1">
      <alignment horizontal="center"/>
    </xf>
    <xf numFmtId="0" fontId="0" fillId="0" borderId="27" xfId="0" applyBorder="1"/>
    <xf numFmtId="0" fontId="0" fillId="0" borderId="30" xfId="0" applyBorder="1"/>
    <xf numFmtId="0" fontId="20" fillId="0" borderId="29" xfId="0" applyFont="1" applyBorder="1" applyAlignment="1">
      <alignment horizontal="center"/>
    </xf>
    <xf numFmtId="0" fontId="20" fillId="0" borderId="31" xfId="0" applyFont="1" applyBorder="1"/>
    <xf numFmtId="0" fontId="20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33" xfId="0" applyFont="1" applyBorder="1"/>
    <xf numFmtId="0" fontId="20" fillId="0" borderId="34" xfId="0" applyFont="1" applyBorder="1" applyAlignment="1">
      <alignment horizontal="right"/>
    </xf>
    <xf numFmtId="0" fontId="14" fillId="0" borderId="1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" fillId="0" borderId="3" xfId="0" applyFont="1" applyBorder="1"/>
    <xf numFmtId="0" fontId="4" fillId="0" borderId="10" xfId="0" applyFont="1" applyBorder="1"/>
    <xf numFmtId="0" fontId="4" fillId="3" borderId="14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left"/>
    </xf>
    <xf numFmtId="0" fontId="1" fillId="6" borderId="26" xfId="0" applyFont="1" applyFill="1" applyBorder="1" applyAlignment="1">
      <alignment horizontal="center"/>
    </xf>
    <xf numFmtId="0" fontId="2" fillId="7" borderId="11" xfId="0" applyFont="1" applyFill="1" applyBorder="1"/>
    <xf numFmtId="0" fontId="4" fillId="3" borderId="4" xfId="0" applyFont="1" applyFill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0" borderId="14" xfId="0" applyFont="1" applyBorder="1"/>
    <xf numFmtId="0" fontId="2" fillId="0" borderId="19" xfId="0" applyFont="1" applyBorder="1"/>
    <xf numFmtId="0" fontId="1" fillId="2" borderId="1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9"/>
  <sheetViews>
    <sheetView zoomScale="70" zoomScaleNormal="70" workbookViewId="0">
      <pane xSplit="4" ySplit="2" topLeftCell="K3" activePane="bottomRight" state="frozen"/>
      <selection pane="topRight" activeCell="E1" sqref="E1"/>
      <selection pane="bottomLeft" activeCell="A3" sqref="A3"/>
      <selection pane="bottomRight" activeCell="O15" sqref="O15"/>
    </sheetView>
  </sheetViews>
  <sheetFormatPr defaultColWidth="12.6640625" defaultRowHeight="15" customHeight="1" outlineLevelCol="1"/>
  <cols>
    <col min="1" max="1" width="7.6640625" customWidth="1"/>
    <col min="2" max="2" width="10.19921875" customWidth="1"/>
    <col min="3" max="3" width="10.53125" customWidth="1"/>
    <col min="4" max="4" width="8" style="38" customWidth="1" collapsed="1"/>
    <col min="5" max="10" width="7.6640625" style="38" hidden="1" customWidth="1" outlineLevel="1"/>
    <col min="11" max="22" width="7.6640625" customWidth="1"/>
    <col min="23" max="23" width="190.06640625" bestFit="1" customWidth="1"/>
    <col min="24" max="24" width="10" customWidth="1"/>
    <col min="25" max="33" width="12.796875" customWidth="1"/>
  </cols>
  <sheetData>
    <row r="1" spans="1:33" ht="15.75" customHeight="1">
      <c r="A1" s="125" t="s">
        <v>0</v>
      </c>
      <c r="B1" s="123"/>
      <c r="C1" s="123"/>
      <c r="D1" s="124"/>
      <c r="E1" s="126" t="s">
        <v>1</v>
      </c>
      <c r="F1" s="127"/>
      <c r="G1" s="128"/>
      <c r="H1" s="129" t="s">
        <v>2</v>
      </c>
      <c r="I1" s="130"/>
      <c r="J1" s="131"/>
      <c r="K1" s="132" t="s">
        <v>264</v>
      </c>
      <c r="L1" s="133"/>
      <c r="M1" s="133"/>
      <c r="N1" s="133"/>
      <c r="O1" s="133"/>
      <c r="P1" s="133"/>
      <c r="Q1" s="133"/>
      <c r="R1" s="134"/>
      <c r="S1" s="132" t="s">
        <v>3</v>
      </c>
      <c r="T1" s="135"/>
      <c r="U1" s="133"/>
      <c r="V1" s="134"/>
      <c r="W1" s="120" t="s">
        <v>4</v>
      </c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2" t="s">
        <v>5</v>
      </c>
      <c r="B2" s="3" t="s">
        <v>6</v>
      </c>
      <c r="C2" s="3" t="s">
        <v>7</v>
      </c>
      <c r="D2" s="4" t="s">
        <v>8</v>
      </c>
      <c r="E2" s="43" t="s">
        <v>9</v>
      </c>
      <c r="F2" s="43" t="s">
        <v>263</v>
      </c>
      <c r="G2" s="43"/>
      <c r="H2" s="44" t="s">
        <v>9</v>
      </c>
      <c r="I2" s="43" t="s">
        <v>263</v>
      </c>
      <c r="J2" s="45"/>
      <c r="K2" s="44" t="s">
        <v>263</v>
      </c>
      <c r="L2" s="43" t="s">
        <v>282</v>
      </c>
      <c r="M2" s="43" t="s">
        <v>462</v>
      </c>
      <c r="N2" s="43" t="s">
        <v>504</v>
      </c>
      <c r="O2" s="43" t="s">
        <v>505</v>
      </c>
      <c r="P2" s="43" t="s">
        <v>506</v>
      </c>
      <c r="Q2" s="43" t="s">
        <v>507</v>
      </c>
      <c r="R2" s="45" t="s">
        <v>463</v>
      </c>
      <c r="S2" s="44" t="s">
        <v>263</v>
      </c>
      <c r="T2" s="43" t="s">
        <v>282</v>
      </c>
      <c r="U2" s="43" t="s">
        <v>462</v>
      </c>
      <c r="V2" s="45" t="s">
        <v>463</v>
      </c>
      <c r="W2" s="12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>
      <c r="A3" s="5" t="s">
        <v>11</v>
      </c>
      <c r="B3" s="6" t="s">
        <v>12</v>
      </c>
      <c r="C3" s="6" t="s">
        <v>13</v>
      </c>
      <c r="D3" s="22">
        <v>2.5</v>
      </c>
      <c r="E3" s="7" t="s">
        <v>14</v>
      </c>
      <c r="F3" s="7"/>
      <c r="G3" s="7"/>
      <c r="H3" s="58" t="s">
        <v>15</v>
      </c>
      <c r="I3" s="7"/>
      <c r="J3" s="42"/>
      <c r="K3" s="33"/>
      <c r="L3" s="7"/>
      <c r="M3" s="7"/>
      <c r="N3" s="7"/>
      <c r="O3" s="7"/>
      <c r="P3" s="7"/>
      <c r="Q3" s="7"/>
      <c r="R3" s="42"/>
      <c r="S3" s="33" t="s">
        <v>15</v>
      </c>
      <c r="T3" s="7"/>
      <c r="U3" s="7"/>
      <c r="V3" s="42"/>
      <c r="W3" s="8" t="s">
        <v>16</v>
      </c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>
      <c r="A4" s="9">
        <v>3</v>
      </c>
      <c r="B4" s="6" t="s">
        <v>17</v>
      </c>
      <c r="C4" s="6" t="s">
        <v>13</v>
      </c>
      <c r="D4" s="22">
        <v>0</v>
      </c>
      <c r="E4" s="7" t="s">
        <v>15</v>
      </c>
      <c r="F4" s="7"/>
      <c r="G4" s="7"/>
      <c r="H4" s="33" t="s">
        <v>15</v>
      </c>
      <c r="I4" s="7"/>
      <c r="J4" s="42"/>
      <c r="K4" s="33"/>
      <c r="L4" s="7"/>
      <c r="M4" s="7"/>
      <c r="N4" s="7"/>
      <c r="O4" s="7"/>
      <c r="P4" s="7"/>
      <c r="Q4" s="7"/>
      <c r="R4" s="42"/>
      <c r="S4" s="33" t="s">
        <v>15</v>
      </c>
      <c r="T4" s="7"/>
      <c r="U4" s="7"/>
      <c r="V4" s="42"/>
      <c r="W4" s="8" t="s">
        <v>18</v>
      </c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>
      <c r="A5" s="10">
        <v>0.38</v>
      </c>
      <c r="B5" s="6" t="s">
        <v>19</v>
      </c>
      <c r="C5" s="6" t="s">
        <v>13</v>
      </c>
      <c r="D5" s="22">
        <f>ROUND(50/(A5*40*1.2),2)</f>
        <v>2.74</v>
      </c>
      <c r="E5" s="7" t="s">
        <v>14</v>
      </c>
      <c r="F5" s="7"/>
      <c r="G5" s="7"/>
      <c r="H5" s="33" t="s">
        <v>15</v>
      </c>
      <c r="I5" s="7"/>
      <c r="J5" s="42"/>
      <c r="K5" s="33"/>
      <c r="L5" s="7"/>
      <c r="M5" s="7"/>
      <c r="N5" s="7"/>
      <c r="O5" s="7"/>
      <c r="P5" s="7"/>
      <c r="Q5" s="7"/>
      <c r="R5" s="42"/>
      <c r="S5" s="33" t="s">
        <v>15</v>
      </c>
      <c r="T5" s="7"/>
      <c r="U5" s="7"/>
      <c r="V5" s="42"/>
      <c r="W5" s="11" t="s">
        <v>20</v>
      </c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>
      <c r="A6" s="9"/>
      <c r="B6" s="6" t="s">
        <v>21</v>
      </c>
      <c r="C6" s="6" t="s">
        <v>22</v>
      </c>
      <c r="D6" s="22">
        <v>3</v>
      </c>
      <c r="E6" s="7" t="s">
        <v>14</v>
      </c>
      <c r="F6" s="7"/>
      <c r="G6" s="7"/>
      <c r="H6" s="33" t="s">
        <v>15</v>
      </c>
      <c r="I6" s="7"/>
      <c r="J6" s="42"/>
      <c r="K6" s="33"/>
      <c r="L6" s="7"/>
      <c r="M6" s="7"/>
      <c r="N6" s="7"/>
      <c r="O6" s="7"/>
      <c r="P6" s="7"/>
      <c r="Q6" s="7"/>
      <c r="R6" s="42"/>
      <c r="S6" s="33" t="s">
        <v>15</v>
      </c>
      <c r="T6" s="7"/>
      <c r="U6" s="7"/>
      <c r="V6" s="42"/>
      <c r="W6" s="11" t="s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customHeight="1">
      <c r="A7" s="9"/>
      <c r="B7" s="6" t="s">
        <v>24</v>
      </c>
      <c r="C7" s="6" t="s">
        <v>13</v>
      </c>
      <c r="D7" s="22">
        <v>2</v>
      </c>
      <c r="E7" s="7" t="s">
        <v>15</v>
      </c>
      <c r="F7" s="7"/>
      <c r="G7" s="7"/>
      <c r="H7" s="33" t="s">
        <v>15</v>
      </c>
      <c r="I7" s="7"/>
      <c r="J7" s="42"/>
      <c r="K7" s="33"/>
      <c r="L7" s="7"/>
      <c r="M7" s="7"/>
      <c r="N7" s="7"/>
      <c r="O7" s="7"/>
      <c r="P7" s="7"/>
      <c r="Q7" s="7"/>
      <c r="R7" s="42"/>
      <c r="S7" s="33" t="s">
        <v>14</v>
      </c>
      <c r="T7" s="7"/>
      <c r="U7" s="7"/>
      <c r="V7" s="42"/>
      <c r="W7" s="11" t="s">
        <v>25</v>
      </c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>
      <c r="A8" s="9"/>
      <c r="B8" s="6" t="s">
        <v>26</v>
      </c>
      <c r="C8" s="6" t="s">
        <v>27</v>
      </c>
      <c r="D8" s="22">
        <v>3</v>
      </c>
      <c r="E8" s="7" t="s">
        <v>15</v>
      </c>
      <c r="F8" s="7"/>
      <c r="G8" s="7"/>
      <c r="H8" s="33" t="s">
        <v>15</v>
      </c>
      <c r="I8" s="7"/>
      <c r="J8" s="42"/>
      <c r="K8" s="33"/>
      <c r="L8" s="7"/>
      <c r="M8" s="7"/>
      <c r="N8" s="7"/>
      <c r="O8" s="7"/>
      <c r="P8" s="7"/>
      <c r="Q8" s="7"/>
      <c r="R8" s="42"/>
      <c r="S8" s="33" t="s">
        <v>15</v>
      </c>
      <c r="T8" s="7"/>
      <c r="U8" s="7"/>
      <c r="V8" s="42"/>
      <c r="W8" s="8" t="s">
        <v>28</v>
      </c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>
      <c r="A9" s="9"/>
      <c r="B9" s="6" t="s">
        <v>29</v>
      </c>
      <c r="C9" s="6" t="s">
        <v>22</v>
      </c>
      <c r="D9" s="22">
        <v>2.5</v>
      </c>
      <c r="E9" s="7" t="s">
        <v>14</v>
      </c>
      <c r="F9" s="7"/>
      <c r="G9" s="7"/>
      <c r="H9" s="33" t="s">
        <v>15</v>
      </c>
      <c r="I9" s="7"/>
      <c r="J9" s="42"/>
      <c r="K9" s="33"/>
      <c r="L9" s="7"/>
      <c r="M9" s="7"/>
      <c r="N9" s="7"/>
      <c r="O9" s="7"/>
      <c r="P9" s="7"/>
      <c r="Q9" s="7"/>
      <c r="R9" s="42"/>
      <c r="S9" s="33" t="s">
        <v>15</v>
      </c>
      <c r="T9" s="7"/>
      <c r="U9" s="7"/>
      <c r="V9" s="42"/>
      <c r="W9" s="8" t="s">
        <v>30</v>
      </c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>
      <c r="A10" s="9"/>
      <c r="B10" s="6" t="s">
        <v>31</v>
      </c>
      <c r="C10" s="6" t="s">
        <v>27</v>
      </c>
      <c r="D10" s="22">
        <v>2</v>
      </c>
      <c r="E10" s="7" t="s">
        <v>15</v>
      </c>
      <c r="F10" s="7"/>
      <c r="G10" s="7"/>
      <c r="H10" s="33" t="s">
        <v>15</v>
      </c>
      <c r="I10" s="7"/>
      <c r="J10" s="42"/>
      <c r="K10" s="33"/>
      <c r="L10" s="7"/>
      <c r="M10" s="7"/>
      <c r="N10" s="7"/>
      <c r="O10" s="7"/>
      <c r="P10" s="7"/>
      <c r="Q10" s="7"/>
      <c r="R10" s="42"/>
      <c r="S10" s="33" t="s">
        <v>15</v>
      </c>
      <c r="T10" s="7"/>
      <c r="U10" s="7"/>
      <c r="V10" s="42"/>
      <c r="W10" s="11" t="s">
        <v>255</v>
      </c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>
      <c r="A11" s="9"/>
      <c r="B11" s="6" t="s">
        <v>32</v>
      </c>
      <c r="C11" s="6" t="s">
        <v>27</v>
      </c>
      <c r="D11" s="22">
        <f>ROUND(50/(A5*40*1.2),2)</f>
        <v>2.74</v>
      </c>
      <c r="E11" s="7" t="s">
        <v>14</v>
      </c>
      <c r="F11" s="7"/>
      <c r="G11" s="7"/>
      <c r="H11" s="33" t="s">
        <v>15</v>
      </c>
      <c r="I11" s="7"/>
      <c r="J11" s="42"/>
      <c r="K11" s="33"/>
      <c r="L11" s="7"/>
      <c r="M11" s="7"/>
      <c r="N11" s="7"/>
      <c r="O11" s="7"/>
      <c r="P11" s="7"/>
      <c r="Q11" s="7"/>
      <c r="R11" s="42"/>
      <c r="S11" s="33" t="s">
        <v>15</v>
      </c>
      <c r="T11" s="7"/>
      <c r="U11" s="7"/>
      <c r="V11" s="42"/>
      <c r="W11" s="11" t="s">
        <v>33</v>
      </c>
      <c r="X11" s="1"/>
      <c r="Y11" s="57"/>
      <c r="Z11" s="1"/>
      <c r="AA11" s="1"/>
      <c r="AB11" s="1"/>
      <c r="AC11" s="1"/>
      <c r="AD11" s="1"/>
      <c r="AE11" s="1"/>
      <c r="AF11" s="1"/>
      <c r="AG11" s="1"/>
    </row>
    <row r="12" spans="1:33" ht="15.75" customHeight="1">
      <c r="A12" s="9"/>
      <c r="B12" s="6" t="s">
        <v>34</v>
      </c>
      <c r="C12" s="6" t="s">
        <v>27</v>
      </c>
      <c r="D12" s="22">
        <v>1.5</v>
      </c>
      <c r="E12" s="7" t="s">
        <v>14</v>
      </c>
      <c r="F12" s="7"/>
      <c r="G12" s="7"/>
      <c r="H12" s="33" t="s">
        <v>15</v>
      </c>
      <c r="I12" s="7"/>
      <c r="J12" s="42"/>
      <c r="K12" s="33"/>
      <c r="L12" s="7"/>
      <c r="M12" s="7"/>
      <c r="N12" s="7"/>
      <c r="O12" s="7"/>
      <c r="P12" s="7"/>
      <c r="Q12" s="7"/>
      <c r="R12" s="42"/>
      <c r="S12" s="33" t="s">
        <v>15</v>
      </c>
      <c r="T12" s="7"/>
      <c r="U12" s="7"/>
      <c r="V12" s="42"/>
      <c r="W12" s="11" t="s">
        <v>35</v>
      </c>
      <c r="X12" s="12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>
      <c r="A13" s="9"/>
      <c r="B13" s="6" t="s">
        <v>36</v>
      </c>
      <c r="C13" s="6" t="s">
        <v>22</v>
      </c>
      <c r="D13" s="22">
        <v>2</v>
      </c>
      <c r="E13" s="7" t="s">
        <v>15</v>
      </c>
      <c r="F13" s="7"/>
      <c r="G13" s="7"/>
      <c r="H13" s="33" t="s">
        <v>15</v>
      </c>
      <c r="I13" s="7"/>
      <c r="J13" s="42"/>
      <c r="K13" s="33"/>
      <c r="L13" s="7"/>
      <c r="M13" s="7"/>
      <c r="N13" s="7"/>
      <c r="O13" s="7"/>
      <c r="P13" s="7"/>
      <c r="Q13" s="7"/>
      <c r="R13" s="42"/>
      <c r="S13" s="33" t="s">
        <v>15</v>
      </c>
      <c r="T13" s="7"/>
      <c r="U13" s="7"/>
      <c r="V13" s="42"/>
      <c r="W13" s="11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>
      <c r="A14" s="9"/>
      <c r="B14" s="6" t="s">
        <v>38</v>
      </c>
      <c r="C14" s="6" t="s">
        <v>13</v>
      </c>
      <c r="D14" s="22">
        <v>2</v>
      </c>
      <c r="E14" s="7" t="s">
        <v>15</v>
      </c>
      <c r="F14" s="7"/>
      <c r="G14" s="7"/>
      <c r="H14" s="33" t="s">
        <v>15</v>
      </c>
      <c r="I14" s="7"/>
      <c r="J14" s="42"/>
      <c r="K14" s="33"/>
      <c r="L14" s="7"/>
      <c r="M14" s="7"/>
      <c r="N14" s="7"/>
      <c r="O14" s="7"/>
      <c r="P14" s="7"/>
      <c r="Q14" s="7"/>
      <c r="R14" s="42"/>
      <c r="S14" s="33" t="s">
        <v>15</v>
      </c>
      <c r="T14" s="7"/>
      <c r="U14" s="7"/>
      <c r="V14" s="42"/>
      <c r="W14" s="11" t="s">
        <v>39</v>
      </c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>
      <c r="A15" s="9"/>
      <c r="B15" s="6" t="s">
        <v>40</v>
      </c>
      <c r="C15" s="6" t="s">
        <v>27</v>
      </c>
      <c r="D15" s="22">
        <v>1</v>
      </c>
      <c r="E15" s="7" t="s">
        <v>15</v>
      </c>
      <c r="F15" s="7"/>
      <c r="G15" s="7"/>
      <c r="H15" s="58" t="s">
        <v>14</v>
      </c>
      <c r="I15" s="7"/>
      <c r="J15" s="42"/>
      <c r="K15" s="33"/>
      <c r="L15" s="7"/>
      <c r="M15" s="7"/>
      <c r="N15" s="7"/>
      <c r="O15" s="7"/>
      <c r="P15" s="7"/>
      <c r="Q15" s="7"/>
      <c r="R15" s="42"/>
      <c r="S15" s="33" t="s">
        <v>15</v>
      </c>
      <c r="T15" s="7"/>
      <c r="U15" s="7"/>
      <c r="V15" s="42"/>
      <c r="W15" s="11" t="s">
        <v>41</v>
      </c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>
      <c r="A16" s="9"/>
      <c r="B16" s="6" t="s">
        <v>42</v>
      </c>
      <c r="C16" s="6" t="s">
        <v>22</v>
      </c>
      <c r="D16" s="22">
        <f>ROUND(30/(A5*50),2)</f>
        <v>1.58</v>
      </c>
      <c r="E16" s="7" t="s">
        <v>15</v>
      </c>
      <c r="F16" s="7"/>
      <c r="G16" s="7"/>
      <c r="H16" s="33" t="s">
        <v>15</v>
      </c>
      <c r="I16" s="7"/>
      <c r="J16" s="42"/>
      <c r="K16" s="33"/>
      <c r="L16" s="7"/>
      <c r="M16" s="7"/>
      <c r="N16" s="7"/>
      <c r="O16" s="7"/>
      <c r="P16" s="7"/>
      <c r="Q16" s="7"/>
      <c r="R16" s="42"/>
      <c r="S16" s="33" t="s">
        <v>15</v>
      </c>
      <c r="T16" s="7"/>
      <c r="U16" s="7"/>
      <c r="V16" s="42"/>
      <c r="W16" s="8" t="s">
        <v>43</v>
      </c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75" customHeight="1">
      <c r="A17" s="9"/>
      <c r="B17" s="6" t="s">
        <v>44</v>
      </c>
      <c r="C17" s="6" t="s">
        <v>22</v>
      </c>
      <c r="D17" s="22">
        <v>1</v>
      </c>
      <c r="E17" s="7" t="s">
        <v>14</v>
      </c>
      <c r="F17" s="7"/>
      <c r="G17" s="7"/>
      <c r="H17" s="59" t="s">
        <v>15</v>
      </c>
      <c r="I17" s="7"/>
      <c r="J17" s="42"/>
      <c r="K17" s="59"/>
      <c r="L17" s="7"/>
      <c r="M17" s="7"/>
      <c r="N17" s="7"/>
      <c r="O17" s="7"/>
      <c r="P17" s="7"/>
      <c r="Q17" s="7"/>
      <c r="R17" s="42"/>
      <c r="S17" s="58" t="s">
        <v>15</v>
      </c>
      <c r="T17" s="7"/>
      <c r="U17" s="7"/>
      <c r="V17" s="42"/>
      <c r="W17" s="11" t="s">
        <v>256</v>
      </c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75" customHeight="1">
      <c r="A18" s="9"/>
      <c r="B18" s="6" t="s">
        <v>45</v>
      </c>
      <c r="C18" s="6" t="s">
        <v>13</v>
      </c>
      <c r="D18" s="22">
        <v>2</v>
      </c>
      <c r="E18" s="7" t="s">
        <v>14</v>
      </c>
      <c r="F18" s="7"/>
      <c r="G18" s="7"/>
      <c r="H18" s="59" t="s">
        <v>15</v>
      </c>
      <c r="I18" s="7"/>
      <c r="J18" s="42"/>
      <c r="K18" s="59"/>
      <c r="L18" s="7"/>
      <c r="M18" s="7"/>
      <c r="N18" s="7"/>
      <c r="O18" s="7"/>
      <c r="P18" s="7"/>
      <c r="Q18" s="7"/>
      <c r="R18" s="42"/>
      <c r="S18" s="33" t="s">
        <v>15</v>
      </c>
      <c r="T18" s="7"/>
      <c r="U18" s="7"/>
      <c r="V18" s="42"/>
      <c r="W18" s="11" t="s">
        <v>46</v>
      </c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75" customHeight="1">
      <c r="A19" s="9"/>
      <c r="B19" s="6" t="s">
        <v>249</v>
      </c>
      <c r="C19" s="6" t="s">
        <v>27</v>
      </c>
      <c r="D19" s="22">
        <v>1</v>
      </c>
      <c r="E19" s="7" t="s">
        <v>14</v>
      </c>
      <c r="F19" s="7"/>
      <c r="G19" s="7"/>
      <c r="H19" s="33" t="s">
        <v>15</v>
      </c>
      <c r="I19" s="7"/>
      <c r="J19" s="42"/>
      <c r="K19" s="59"/>
      <c r="L19" s="7"/>
      <c r="M19" s="7"/>
      <c r="N19" s="7"/>
      <c r="O19" s="7"/>
      <c r="P19" s="7"/>
      <c r="Q19" s="7"/>
      <c r="R19" s="42"/>
      <c r="S19" s="33" t="s">
        <v>15</v>
      </c>
      <c r="T19" s="7"/>
      <c r="U19" s="7"/>
      <c r="V19" s="42"/>
      <c r="W19" s="11" t="s">
        <v>258</v>
      </c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75" customHeight="1">
      <c r="A20" s="9"/>
      <c r="B20" s="6" t="s">
        <v>259</v>
      </c>
      <c r="C20" s="6" t="s">
        <v>27</v>
      </c>
      <c r="D20" s="22">
        <v>1</v>
      </c>
      <c r="E20" s="7" t="s">
        <v>14</v>
      </c>
      <c r="F20" s="7"/>
      <c r="G20" s="7"/>
      <c r="H20" s="33"/>
      <c r="I20" s="7"/>
      <c r="J20" s="42"/>
      <c r="K20" s="59"/>
      <c r="L20" s="7"/>
      <c r="M20" s="7"/>
      <c r="N20" s="7"/>
      <c r="O20" s="7"/>
      <c r="P20" s="7"/>
      <c r="Q20" s="7"/>
      <c r="R20" s="42"/>
      <c r="S20" s="33" t="s">
        <v>15</v>
      </c>
      <c r="T20" s="7"/>
      <c r="U20" s="7"/>
      <c r="V20" s="42"/>
      <c r="W20" s="11" t="s">
        <v>260</v>
      </c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>
      <c r="A21" s="9"/>
      <c r="B21" s="6" t="s">
        <v>47</v>
      </c>
      <c r="C21" s="6" t="s">
        <v>13</v>
      </c>
      <c r="D21" s="22">
        <v>1</v>
      </c>
      <c r="E21" s="7" t="s">
        <v>15</v>
      </c>
      <c r="F21" s="7"/>
      <c r="G21" s="7"/>
      <c r="H21" s="33" t="s">
        <v>15</v>
      </c>
      <c r="I21" s="7"/>
      <c r="J21" s="42"/>
      <c r="K21" s="33"/>
      <c r="L21" s="7"/>
      <c r="M21" s="7"/>
      <c r="N21" s="7"/>
      <c r="O21" s="7"/>
      <c r="P21" s="7"/>
      <c r="Q21" s="7"/>
      <c r="R21" s="42"/>
      <c r="S21" s="33" t="s">
        <v>15</v>
      </c>
      <c r="T21" s="7"/>
      <c r="U21" s="7"/>
      <c r="V21" s="42"/>
      <c r="W21" s="11" t="s">
        <v>265</v>
      </c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>
      <c r="A22" s="9"/>
      <c r="B22" s="6" t="s">
        <v>269</v>
      </c>
      <c r="C22" s="6" t="s">
        <v>267</v>
      </c>
      <c r="D22" s="22">
        <v>1</v>
      </c>
      <c r="E22" s="7"/>
      <c r="F22" s="7"/>
      <c r="G22" s="7"/>
      <c r="H22" s="33"/>
      <c r="I22" s="7"/>
      <c r="J22" s="42"/>
      <c r="K22" s="33"/>
      <c r="L22" s="7"/>
      <c r="M22" s="7"/>
      <c r="N22" s="7"/>
      <c r="O22" s="7"/>
      <c r="P22" s="7"/>
      <c r="Q22" s="7"/>
      <c r="R22" s="42"/>
      <c r="S22" s="33"/>
      <c r="T22" s="7"/>
      <c r="U22" s="7"/>
      <c r="V22" s="42"/>
      <c r="W22" s="11" t="s">
        <v>276</v>
      </c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>
      <c r="A23" s="9"/>
      <c r="B23" s="6" t="s">
        <v>48</v>
      </c>
      <c r="C23" s="6" t="s">
        <v>13</v>
      </c>
      <c r="D23" s="22">
        <v>2</v>
      </c>
      <c r="E23" s="7" t="s">
        <v>15</v>
      </c>
      <c r="F23" s="7"/>
      <c r="G23" s="7"/>
      <c r="H23" s="33" t="s">
        <v>15</v>
      </c>
      <c r="I23" s="7"/>
      <c r="J23" s="42"/>
      <c r="K23" s="33"/>
      <c r="L23" s="7"/>
      <c r="M23" s="7"/>
      <c r="N23" s="7"/>
      <c r="O23" s="7"/>
      <c r="P23" s="7"/>
      <c r="Q23" s="7"/>
      <c r="R23" s="42"/>
      <c r="S23" s="33" t="s">
        <v>15</v>
      </c>
      <c r="T23" s="7"/>
      <c r="U23" s="7"/>
      <c r="V23" s="42"/>
      <c r="W23" s="1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75" customHeight="1">
      <c r="A24" s="13"/>
      <c r="B24" s="122" t="s">
        <v>49</v>
      </c>
      <c r="C24" s="123"/>
      <c r="D24" s="124"/>
      <c r="E24" s="39">
        <f t="shared" ref="E24:H24" si="0">COUNTIF(E3:E23,"○")</f>
        <v>10</v>
      </c>
      <c r="F24" s="30"/>
      <c r="G24" s="30"/>
      <c r="H24" s="34">
        <f t="shared" si="0"/>
        <v>1</v>
      </c>
      <c r="I24" s="30"/>
      <c r="J24" s="65"/>
      <c r="K24" s="67"/>
      <c r="L24" s="30"/>
      <c r="M24" s="30"/>
      <c r="N24" s="30"/>
      <c r="O24" s="30"/>
      <c r="P24" s="30"/>
      <c r="Q24" s="30"/>
      <c r="R24" s="65"/>
      <c r="S24" s="32"/>
      <c r="T24" s="30"/>
      <c r="U24" s="30"/>
      <c r="V24" s="65"/>
      <c r="W24" s="69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75" customHeight="1">
      <c r="A25" s="5" t="s">
        <v>50</v>
      </c>
      <c r="B25" s="6" t="s">
        <v>51</v>
      </c>
      <c r="C25" s="6" t="s">
        <v>13</v>
      </c>
      <c r="D25" s="22">
        <f>ROUND(50/(A27*40*1.2),2)</f>
        <v>4.34</v>
      </c>
      <c r="E25" s="7" t="s">
        <v>15</v>
      </c>
      <c r="F25" s="7"/>
      <c r="G25" s="7"/>
      <c r="H25" s="58" t="s">
        <v>15</v>
      </c>
      <c r="I25" s="7"/>
      <c r="J25" s="42"/>
      <c r="K25" s="33"/>
      <c r="L25" s="7"/>
      <c r="M25" s="7"/>
      <c r="N25" s="7"/>
      <c r="O25" s="7"/>
      <c r="P25" s="7"/>
      <c r="Q25" s="7"/>
      <c r="R25" s="42"/>
      <c r="S25" s="33" t="s">
        <v>15</v>
      </c>
      <c r="T25" s="7"/>
      <c r="U25" s="7"/>
      <c r="V25" s="42"/>
      <c r="W25" s="8" t="s">
        <v>52</v>
      </c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75" customHeight="1">
      <c r="A26" s="9">
        <v>2</v>
      </c>
      <c r="B26" s="6" t="s">
        <v>53</v>
      </c>
      <c r="C26" s="6" t="s">
        <v>13</v>
      </c>
      <c r="D26" s="22">
        <v>0</v>
      </c>
      <c r="E26" s="7" t="s">
        <v>15</v>
      </c>
      <c r="F26" s="7"/>
      <c r="G26" s="7"/>
      <c r="H26" s="33" t="s">
        <v>15</v>
      </c>
      <c r="I26" s="7"/>
      <c r="J26" s="42"/>
      <c r="K26" s="33"/>
      <c r="L26" s="7"/>
      <c r="M26" s="7"/>
      <c r="N26" s="7"/>
      <c r="O26" s="7"/>
      <c r="P26" s="7"/>
      <c r="Q26" s="7"/>
      <c r="R26" s="42"/>
      <c r="S26" s="33" t="s">
        <v>15</v>
      </c>
      <c r="T26" s="7"/>
      <c r="U26" s="7"/>
      <c r="V26" s="42"/>
      <c r="W26" s="8" t="s">
        <v>54</v>
      </c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>
      <c r="A27" s="10">
        <v>0.24</v>
      </c>
      <c r="B27" s="6" t="s">
        <v>55</v>
      </c>
      <c r="C27" s="6" t="s">
        <v>27</v>
      </c>
      <c r="D27" s="22">
        <v>3</v>
      </c>
      <c r="E27" s="7" t="s">
        <v>15</v>
      </c>
      <c r="F27" s="7"/>
      <c r="G27" s="7"/>
      <c r="H27" s="33" t="s">
        <v>15</v>
      </c>
      <c r="I27" s="7"/>
      <c r="J27" s="42"/>
      <c r="K27" s="33"/>
      <c r="L27" s="7"/>
      <c r="M27" s="7"/>
      <c r="N27" s="7"/>
      <c r="O27" s="7"/>
      <c r="P27" s="7"/>
      <c r="Q27" s="7"/>
      <c r="R27" s="42"/>
      <c r="S27" s="33" t="s">
        <v>15</v>
      </c>
      <c r="T27" s="7"/>
      <c r="U27" s="7"/>
      <c r="V27" s="42"/>
      <c r="W27" s="8" t="s">
        <v>56</v>
      </c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>
      <c r="A28" s="9"/>
      <c r="B28" s="6" t="s">
        <v>57</v>
      </c>
      <c r="C28" s="6" t="s">
        <v>27</v>
      </c>
      <c r="D28" s="22">
        <v>2.5</v>
      </c>
      <c r="E28" s="7" t="s">
        <v>14</v>
      </c>
      <c r="F28" s="7"/>
      <c r="G28" s="7"/>
      <c r="H28" s="33" t="s">
        <v>15</v>
      </c>
      <c r="I28" s="7"/>
      <c r="J28" s="42"/>
      <c r="K28" s="33"/>
      <c r="L28" s="7"/>
      <c r="M28" s="7"/>
      <c r="N28" s="7"/>
      <c r="O28" s="7"/>
      <c r="P28" s="7"/>
      <c r="Q28" s="7"/>
      <c r="R28" s="42"/>
      <c r="S28" s="33" t="s">
        <v>15</v>
      </c>
      <c r="T28" s="7"/>
      <c r="U28" s="7"/>
      <c r="V28" s="42"/>
      <c r="W28" s="8" t="s">
        <v>58</v>
      </c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>
      <c r="A29" s="9"/>
      <c r="B29" s="6" t="s">
        <v>59</v>
      </c>
      <c r="C29" s="6" t="s">
        <v>27</v>
      </c>
      <c r="D29" s="22">
        <v>2.5</v>
      </c>
      <c r="E29" s="7" t="s">
        <v>14</v>
      </c>
      <c r="F29" s="7"/>
      <c r="G29" s="7"/>
      <c r="H29" s="33" t="s">
        <v>15</v>
      </c>
      <c r="I29" s="7"/>
      <c r="J29" s="42"/>
      <c r="K29" s="33"/>
      <c r="L29" s="7"/>
      <c r="M29" s="7"/>
      <c r="N29" s="7"/>
      <c r="O29" s="7"/>
      <c r="P29" s="7"/>
      <c r="Q29" s="7"/>
      <c r="R29" s="42"/>
      <c r="S29" s="33" t="s">
        <v>15</v>
      </c>
      <c r="T29" s="7"/>
      <c r="U29" s="7"/>
      <c r="V29" s="42"/>
      <c r="W29" s="11" t="s">
        <v>60</v>
      </c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>
      <c r="A30" s="9"/>
      <c r="B30" s="6" t="s">
        <v>61</v>
      </c>
      <c r="C30" s="6" t="s">
        <v>13</v>
      </c>
      <c r="D30" s="22">
        <v>2.5</v>
      </c>
      <c r="E30" s="7" t="s">
        <v>14</v>
      </c>
      <c r="F30" s="7"/>
      <c r="G30" s="7"/>
      <c r="H30" s="33" t="s">
        <v>15</v>
      </c>
      <c r="I30" s="7"/>
      <c r="J30" s="42"/>
      <c r="K30" s="33"/>
      <c r="L30" s="7"/>
      <c r="M30" s="7"/>
      <c r="N30" s="7"/>
      <c r="O30" s="7"/>
      <c r="P30" s="7"/>
      <c r="Q30" s="7"/>
      <c r="R30" s="42"/>
      <c r="S30" s="33" t="s">
        <v>15</v>
      </c>
      <c r="T30" s="7"/>
      <c r="U30" s="7"/>
      <c r="V30" s="42"/>
      <c r="W30" s="11" t="s">
        <v>62</v>
      </c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>
      <c r="A31" s="9"/>
      <c r="B31" s="6" t="s">
        <v>63</v>
      </c>
      <c r="C31" s="6" t="s">
        <v>22</v>
      </c>
      <c r="D31" s="22">
        <v>1.5</v>
      </c>
      <c r="E31" s="7" t="s">
        <v>14</v>
      </c>
      <c r="F31" s="7"/>
      <c r="G31" s="7"/>
      <c r="H31" s="33" t="s">
        <v>15</v>
      </c>
      <c r="I31" s="7"/>
      <c r="J31" s="42"/>
      <c r="K31" s="33"/>
      <c r="L31" s="7"/>
      <c r="M31" s="7"/>
      <c r="N31" s="7"/>
      <c r="O31" s="7"/>
      <c r="P31" s="7"/>
      <c r="Q31" s="7"/>
      <c r="R31" s="42"/>
      <c r="S31" s="33" t="s">
        <v>15</v>
      </c>
      <c r="T31" s="7"/>
      <c r="U31" s="7"/>
      <c r="V31" s="42"/>
      <c r="W31" s="11" t="s">
        <v>64</v>
      </c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9"/>
      <c r="B32" s="6" t="s">
        <v>65</v>
      </c>
      <c r="C32" s="6" t="s">
        <v>13</v>
      </c>
      <c r="D32" s="22">
        <v>2</v>
      </c>
      <c r="E32" s="7" t="s">
        <v>15</v>
      </c>
      <c r="F32" s="7"/>
      <c r="G32" s="7"/>
      <c r="H32" s="33" t="s">
        <v>15</v>
      </c>
      <c r="I32" s="7"/>
      <c r="J32" s="42"/>
      <c r="K32" s="33"/>
      <c r="L32" s="7"/>
      <c r="M32" s="7"/>
      <c r="N32" s="7"/>
      <c r="O32" s="7"/>
      <c r="P32" s="7"/>
      <c r="Q32" s="7"/>
      <c r="R32" s="42"/>
      <c r="S32" s="33" t="s">
        <v>15</v>
      </c>
      <c r="T32" s="7"/>
      <c r="U32" s="7"/>
      <c r="V32" s="42"/>
      <c r="W32" s="11" t="s">
        <v>66</v>
      </c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>
      <c r="A33" s="9"/>
      <c r="B33" s="6" t="s">
        <v>67</v>
      </c>
      <c r="C33" s="6" t="s">
        <v>13</v>
      </c>
      <c r="D33" s="22">
        <v>1</v>
      </c>
      <c r="E33" s="7" t="s">
        <v>14</v>
      </c>
      <c r="F33" s="7"/>
      <c r="G33" s="7"/>
      <c r="H33" s="33" t="s">
        <v>15</v>
      </c>
      <c r="I33" s="7"/>
      <c r="J33" s="42"/>
      <c r="K33" s="33"/>
      <c r="L33" s="7"/>
      <c r="M33" s="7"/>
      <c r="N33" s="7"/>
      <c r="O33" s="7"/>
      <c r="P33" s="7"/>
      <c r="Q33" s="7"/>
      <c r="R33" s="42"/>
      <c r="S33" s="33" t="s">
        <v>15</v>
      </c>
      <c r="T33" s="7"/>
      <c r="U33" s="7"/>
      <c r="V33" s="42"/>
      <c r="W33" s="11" t="s">
        <v>68</v>
      </c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>
      <c r="A34" s="9"/>
      <c r="B34" s="6" t="s">
        <v>69</v>
      </c>
      <c r="C34" s="6" t="s">
        <v>27</v>
      </c>
      <c r="D34" s="22">
        <v>2.5</v>
      </c>
      <c r="E34" s="7" t="s">
        <v>14</v>
      </c>
      <c r="F34" s="7"/>
      <c r="G34" s="7"/>
      <c r="H34" s="33" t="s">
        <v>15</v>
      </c>
      <c r="I34" s="7"/>
      <c r="J34" s="42"/>
      <c r="K34" s="33"/>
      <c r="L34" s="7"/>
      <c r="M34" s="7"/>
      <c r="N34" s="7"/>
      <c r="O34" s="7"/>
      <c r="P34" s="7"/>
      <c r="Q34" s="7"/>
      <c r="R34" s="42"/>
      <c r="S34" s="33" t="s">
        <v>15</v>
      </c>
      <c r="T34" s="7"/>
      <c r="U34" s="7"/>
      <c r="V34" s="42"/>
      <c r="W34" s="11" t="s">
        <v>70</v>
      </c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>
      <c r="A35" s="9"/>
      <c r="B35" s="6" t="s">
        <v>71</v>
      </c>
      <c r="C35" s="6" t="s">
        <v>22</v>
      </c>
      <c r="D35" s="22">
        <v>1.6</v>
      </c>
      <c r="E35" s="7" t="s">
        <v>14</v>
      </c>
      <c r="F35" s="7"/>
      <c r="G35" s="7"/>
      <c r="H35" s="33" t="s">
        <v>15</v>
      </c>
      <c r="I35" s="7"/>
      <c r="J35" s="42"/>
      <c r="K35" s="33"/>
      <c r="L35" s="7"/>
      <c r="M35" s="7"/>
      <c r="N35" s="7"/>
      <c r="O35" s="7"/>
      <c r="P35" s="7"/>
      <c r="Q35" s="7"/>
      <c r="R35" s="42"/>
      <c r="S35" s="33" t="s">
        <v>15</v>
      </c>
      <c r="T35" s="7"/>
      <c r="U35" s="7"/>
      <c r="V35" s="42"/>
      <c r="W35" s="11" t="s">
        <v>72</v>
      </c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>
      <c r="A36" s="9"/>
      <c r="B36" s="6" t="s">
        <v>73</v>
      </c>
      <c r="C36" s="6" t="s">
        <v>27</v>
      </c>
      <c r="D36" s="22">
        <v>2</v>
      </c>
      <c r="E36" s="7" t="s">
        <v>14</v>
      </c>
      <c r="F36" s="7"/>
      <c r="G36" s="7"/>
      <c r="H36" s="33" t="s">
        <v>15</v>
      </c>
      <c r="I36" s="7"/>
      <c r="J36" s="42"/>
      <c r="K36" s="33"/>
      <c r="L36" s="7"/>
      <c r="M36" s="7"/>
      <c r="N36" s="7"/>
      <c r="O36" s="7"/>
      <c r="P36" s="7"/>
      <c r="Q36" s="7"/>
      <c r="R36" s="42"/>
      <c r="S36" s="33" t="s">
        <v>14</v>
      </c>
      <c r="T36" s="7"/>
      <c r="U36" s="7"/>
      <c r="V36" s="42"/>
      <c r="W36" s="8" t="s">
        <v>74</v>
      </c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>
      <c r="A37" s="9"/>
      <c r="B37" s="6" t="s">
        <v>75</v>
      </c>
      <c r="C37" s="6" t="s">
        <v>27</v>
      </c>
      <c r="D37" s="22">
        <v>2.7</v>
      </c>
      <c r="E37" s="7" t="s">
        <v>14</v>
      </c>
      <c r="F37" s="7"/>
      <c r="G37" s="7"/>
      <c r="H37" s="33" t="s">
        <v>15</v>
      </c>
      <c r="I37" s="7"/>
      <c r="J37" s="42"/>
      <c r="K37" s="33"/>
      <c r="L37" s="7"/>
      <c r="M37" s="7"/>
      <c r="N37" s="7"/>
      <c r="O37" s="7"/>
      <c r="P37" s="7"/>
      <c r="Q37" s="7"/>
      <c r="R37" s="42"/>
      <c r="S37" s="33" t="s">
        <v>15</v>
      </c>
      <c r="T37" s="7"/>
      <c r="U37" s="7"/>
      <c r="V37" s="42"/>
      <c r="W37" s="11" t="s">
        <v>76</v>
      </c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>
      <c r="A38" s="9"/>
      <c r="B38" s="6" t="s">
        <v>77</v>
      </c>
      <c r="C38" s="6" t="s">
        <v>13</v>
      </c>
      <c r="D38" s="22">
        <v>1</v>
      </c>
      <c r="E38" s="7" t="s">
        <v>14</v>
      </c>
      <c r="F38" s="7"/>
      <c r="G38" s="7"/>
      <c r="H38" s="33" t="s">
        <v>15</v>
      </c>
      <c r="I38" s="7"/>
      <c r="J38" s="42"/>
      <c r="K38" s="33"/>
      <c r="L38" s="7"/>
      <c r="M38" s="7"/>
      <c r="N38" s="7"/>
      <c r="O38" s="7"/>
      <c r="P38" s="7"/>
      <c r="Q38" s="7"/>
      <c r="R38" s="42"/>
      <c r="S38" s="33" t="s">
        <v>15</v>
      </c>
      <c r="T38" s="7"/>
      <c r="U38" s="7"/>
      <c r="V38" s="42"/>
      <c r="W38" s="11" t="s">
        <v>78</v>
      </c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>
      <c r="A39" s="9"/>
      <c r="B39" s="6" t="s">
        <v>79</v>
      </c>
      <c r="C39" s="6" t="s">
        <v>13</v>
      </c>
      <c r="D39" s="22">
        <v>2</v>
      </c>
      <c r="E39" s="7" t="s">
        <v>14</v>
      </c>
      <c r="F39" s="7"/>
      <c r="G39" s="7"/>
      <c r="H39" s="59" t="s">
        <v>15</v>
      </c>
      <c r="I39" s="7"/>
      <c r="J39" s="42"/>
      <c r="K39" s="59"/>
      <c r="L39" s="7"/>
      <c r="M39" s="7"/>
      <c r="N39" s="7"/>
      <c r="O39" s="7"/>
      <c r="P39" s="7"/>
      <c r="Q39" s="7"/>
      <c r="R39" s="42"/>
      <c r="S39" s="33" t="s">
        <v>15</v>
      </c>
      <c r="T39" s="7"/>
      <c r="U39" s="7"/>
      <c r="V39" s="42"/>
      <c r="W39" s="11" t="s">
        <v>80</v>
      </c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>
      <c r="A40" s="9"/>
      <c r="B40" s="6" t="s">
        <v>81</v>
      </c>
      <c r="C40" s="6" t="s">
        <v>22</v>
      </c>
      <c r="D40" s="22">
        <v>1</v>
      </c>
      <c r="E40" s="7" t="s">
        <v>14</v>
      </c>
      <c r="F40" s="7"/>
      <c r="G40" s="7"/>
      <c r="H40" s="59" t="s">
        <v>15</v>
      </c>
      <c r="I40" s="7"/>
      <c r="J40" s="42"/>
      <c r="K40" s="59"/>
      <c r="L40" s="7"/>
      <c r="M40" s="7"/>
      <c r="N40" s="7"/>
      <c r="O40" s="7"/>
      <c r="P40" s="7"/>
      <c r="Q40" s="7"/>
      <c r="R40" s="42"/>
      <c r="S40" s="33" t="s">
        <v>15</v>
      </c>
      <c r="T40" s="7"/>
      <c r="U40" s="7"/>
      <c r="V40" s="42"/>
      <c r="W40" s="11" t="s">
        <v>82</v>
      </c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>
      <c r="A41" s="9"/>
      <c r="B41" s="6" t="s">
        <v>83</v>
      </c>
      <c r="C41" s="6" t="s">
        <v>22</v>
      </c>
      <c r="D41" s="22">
        <v>1.39</v>
      </c>
      <c r="E41" s="7" t="s">
        <v>14</v>
      </c>
      <c r="F41" s="7"/>
      <c r="G41" s="7"/>
      <c r="H41" s="33" t="s">
        <v>15</v>
      </c>
      <c r="I41" s="7"/>
      <c r="J41" s="42"/>
      <c r="K41" s="33"/>
      <c r="L41" s="7"/>
      <c r="M41" s="7"/>
      <c r="N41" s="7"/>
      <c r="O41" s="7"/>
      <c r="P41" s="7"/>
      <c r="Q41" s="7"/>
      <c r="R41" s="42"/>
      <c r="S41" s="33" t="s">
        <v>15</v>
      </c>
      <c r="T41" s="7"/>
      <c r="U41" s="7"/>
      <c r="V41" s="42"/>
      <c r="W41" s="11" t="s">
        <v>84</v>
      </c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>
      <c r="A42" s="9"/>
      <c r="B42" s="6" t="s">
        <v>266</v>
      </c>
      <c r="C42" s="6" t="s">
        <v>267</v>
      </c>
      <c r="D42" s="22">
        <v>1.51</v>
      </c>
      <c r="E42" s="7"/>
      <c r="F42" s="7"/>
      <c r="G42" s="7"/>
      <c r="H42" s="33"/>
      <c r="I42" s="7"/>
      <c r="J42" s="42"/>
      <c r="K42" s="33"/>
      <c r="L42" s="7"/>
      <c r="M42" s="7"/>
      <c r="N42" s="7"/>
      <c r="O42" s="7"/>
      <c r="P42" s="7"/>
      <c r="Q42" s="7"/>
      <c r="R42" s="42"/>
      <c r="S42" s="33"/>
      <c r="T42" s="7"/>
      <c r="U42" s="7"/>
      <c r="V42" s="42"/>
      <c r="W42" s="11" t="s">
        <v>268</v>
      </c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>
      <c r="A43" s="9"/>
      <c r="B43" s="6" t="s">
        <v>85</v>
      </c>
      <c r="C43" s="6" t="s">
        <v>13</v>
      </c>
      <c r="D43" s="22">
        <v>3</v>
      </c>
      <c r="E43" s="7" t="s">
        <v>15</v>
      </c>
      <c r="F43" s="7"/>
      <c r="G43" s="7"/>
      <c r="H43" s="33" t="s">
        <v>15</v>
      </c>
      <c r="I43" s="7"/>
      <c r="J43" s="42"/>
      <c r="K43" s="33"/>
      <c r="L43" s="7"/>
      <c r="M43" s="7"/>
      <c r="N43" s="7"/>
      <c r="O43" s="7"/>
      <c r="P43" s="7"/>
      <c r="Q43" s="7"/>
      <c r="R43" s="42"/>
      <c r="S43" s="33" t="s">
        <v>15</v>
      </c>
      <c r="T43" s="7"/>
      <c r="U43" s="7"/>
      <c r="V43" s="42"/>
      <c r="W43" s="1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>
      <c r="A44" s="9"/>
      <c r="B44" s="6" t="s">
        <v>508</v>
      </c>
      <c r="C44" s="6"/>
      <c r="D44" s="22"/>
      <c r="E44" s="7"/>
      <c r="F44" s="7"/>
      <c r="G44" s="7"/>
      <c r="H44" s="33"/>
      <c r="I44" s="7"/>
      <c r="J44" s="42"/>
      <c r="K44" s="33"/>
      <c r="L44" s="7"/>
      <c r="M44" s="7"/>
      <c r="N44" s="7"/>
      <c r="O44" s="7"/>
      <c r="P44" s="7"/>
      <c r="Q44" s="7"/>
      <c r="R44" s="42"/>
      <c r="S44" s="33"/>
      <c r="T44" s="7"/>
      <c r="U44" s="7"/>
      <c r="V44" s="42"/>
      <c r="W44" s="1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>
      <c r="A45" s="9"/>
      <c r="B45" s="6" t="s">
        <v>86</v>
      </c>
      <c r="C45" s="6" t="s">
        <v>13</v>
      </c>
      <c r="D45" s="22" t="s">
        <v>15</v>
      </c>
      <c r="E45" s="7" t="s">
        <v>15</v>
      </c>
      <c r="F45" s="7"/>
      <c r="G45" s="7"/>
      <c r="H45" s="33" t="s">
        <v>15</v>
      </c>
      <c r="I45" s="7"/>
      <c r="J45" s="42"/>
      <c r="K45" s="33"/>
      <c r="L45" s="7"/>
      <c r="M45" s="7"/>
      <c r="N45" s="7"/>
      <c r="O45" s="7"/>
      <c r="P45" s="7"/>
      <c r="Q45" s="7"/>
      <c r="R45" s="42"/>
      <c r="S45" s="33" t="s">
        <v>15</v>
      </c>
      <c r="T45" s="7"/>
      <c r="U45" s="7"/>
      <c r="V45" s="42"/>
      <c r="W45" s="11" t="s">
        <v>87</v>
      </c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>
      <c r="A46" s="9"/>
      <c r="B46" s="6" t="s">
        <v>88</v>
      </c>
      <c r="C46" s="6" t="s">
        <v>27</v>
      </c>
      <c r="D46" s="22" t="s">
        <v>15</v>
      </c>
      <c r="E46" s="7" t="s">
        <v>15</v>
      </c>
      <c r="F46" s="7"/>
      <c r="G46" s="7"/>
      <c r="H46" s="33" t="s">
        <v>15</v>
      </c>
      <c r="I46" s="7"/>
      <c r="J46" s="42"/>
      <c r="K46" s="33"/>
      <c r="L46" s="7"/>
      <c r="M46" s="7"/>
      <c r="N46" s="7"/>
      <c r="O46" s="7"/>
      <c r="P46" s="7"/>
      <c r="Q46" s="7"/>
      <c r="R46" s="42"/>
      <c r="S46" s="33" t="s">
        <v>15</v>
      </c>
      <c r="T46" s="7"/>
      <c r="U46" s="7"/>
      <c r="V46" s="42"/>
      <c r="W46" s="1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>
      <c r="A47" s="13"/>
      <c r="B47" s="122" t="s">
        <v>49</v>
      </c>
      <c r="C47" s="123"/>
      <c r="D47" s="124"/>
      <c r="E47" s="14">
        <f t="shared" ref="E47:H47" si="1">COUNTIF(E25:E46,"○")</f>
        <v>13</v>
      </c>
      <c r="F47" s="31"/>
      <c r="G47" s="31"/>
      <c r="H47" s="34">
        <f t="shared" si="1"/>
        <v>0</v>
      </c>
      <c r="I47" s="31"/>
      <c r="J47" s="46"/>
      <c r="K47" s="34"/>
      <c r="L47" s="30"/>
      <c r="M47" s="30"/>
      <c r="N47" s="30"/>
      <c r="O47" s="30"/>
      <c r="P47" s="30"/>
      <c r="Q47" s="30"/>
      <c r="R47" s="46"/>
      <c r="S47" s="34"/>
      <c r="T47" s="31"/>
      <c r="U47" s="30"/>
      <c r="V47" s="46"/>
      <c r="W47" s="70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>
      <c r="A48" s="5" t="s">
        <v>89</v>
      </c>
      <c r="B48" s="6" t="s">
        <v>90</v>
      </c>
      <c r="C48" s="6" t="s">
        <v>27</v>
      </c>
      <c r="D48" s="22">
        <v>3</v>
      </c>
      <c r="E48" s="7" t="s">
        <v>14</v>
      </c>
      <c r="F48" s="7"/>
      <c r="G48" s="7"/>
      <c r="H48" s="33" t="s">
        <v>15</v>
      </c>
      <c r="I48" s="7"/>
      <c r="J48" s="42"/>
      <c r="K48" s="33"/>
      <c r="L48" s="7"/>
      <c r="M48" s="7"/>
      <c r="N48" s="7"/>
      <c r="O48" s="7"/>
      <c r="P48" s="7"/>
      <c r="Q48" s="7"/>
      <c r="R48" s="42"/>
      <c r="S48" s="33" t="s">
        <v>15</v>
      </c>
      <c r="T48" s="7"/>
      <c r="U48" s="7"/>
      <c r="V48" s="42"/>
      <c r="W48" s="8" t="s">
        <v>28</v>
      </c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>
      <c r="A49" s="9">
        <v>3</v>
      </c>
      <c r="B49" s="6" t="s">
        <v>91</v>
      </c>
      <c r="C49" s="6" t="s">
        <v>22</v>
      </c>
      <c r="D49" s="22">
        <v>3</v>
      </c>
      <c r="E49" s="7" t="s">
        <v>14</v>
      </c>
      <c r="F49" s="7"/>
      <c r="G49" s="7"/>
      <c r="H49" s="33" t="s">
        <v>15</v>
      </c>
      <c r="I49" s="7"/>
      <c r="J49" s="42"/>
      <c r="K49" s="33"/>
      <c r="L49" s="7"/>
      <c r="M49" s="7"/>
      <c r="N49" s="7"/>
      <c r="O49" s="7"/>
      <c r="P49" s="7"/>
      <c r="Q49" s="7"/>
      <c r="R49" s="42"/>
      <c r="S49" s="33" t="s">
        <v>15</v>
      </c>
      <c r="T49" s="7"/>
      <c r="U49" s="7"/>
      <c r="V49" s="42"/>
      <c r="W49" s="8" t="s">
        <v>56</v>
      </c>
      <c r="X49" s="1"/>
      <c r="Y49" s="57"/>
      <c r="Z49" s="57"/>
      <c r="AA49" s="1"/>
      <c r="AB49" s="1"/>
      <c r="AC49" s="1"/>
      <c r="AD49" s="1"/>
      <c r="AE49" s="1"/>
      <c r="AF49" s="1"/>
      <c r="AG49" s="1"/>
    </row>
    <row r="50" spans="1:33" ht="15.75" customHeight="1">
      <c r="A50" s="10">
        <v>0.38</v>
      </c>
      <c r="B50" s="6" t="s">
        <v>92</v>
      </c>
      <c r="C50" s="6" t="s">
        <v>27</v>
      </c>
      <c r="D50" s="22">
        <v>1.33</v>
      </c>
      <c r="E50" s="62" t="s">
        <v>15</v>
      </c>
      <c r="F50" s="7"/>
      <c r="G50" s="7"/>
      <c r="H50" s="33" t="s">
        <v>15</v>
      </c>
      <c r="I50" s="7"/>
      <c r="J50" s="42"/>
      <c r="K50" s="33"/>
      <c r="L50" s="7"/>
      <c r="M50" s="7"/>
      <c r="N50" s="7"/>
      <c r="O50" s="7"/>
      <c r="P50" s="7"/>
      <c r="Q50" s="7"/>
      <c r="R50" s="42"/>
      <c r="S50" s="33" t="s">
        <v>15</v>
      </c>
      <c r="T50" s="7"/>
      <c r="U50" s="7"/>
      <c r="V50" s="42"/>
      <c r="W50" s="8" t="s">
        <v>93</v>
      </c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>
      <c r="A51" s="9"/>
      <c r="B51" s="6" t="s">
        <v>94</v>
      </c>
      <c r="C51" s="6" t="s">
        <v>22</v>
      </c>
      <c r="D51" s="22">
        <v>1</v>
      </c>
      <c r="E51" s="7" t="s">
        <v>15</v>
      </c>
      <c r="F51" s="7"/>
      <c r="G51" s="7"/>
      <c r="H51" s="33" t="s">
        <v>15</v>
      </c>
      <c r="I51" s="7"/>
      <c r="J51" s="42"/>
      <c r="K51" s="33"/>
      <c r="L51" s="7"/>
      <c r="M51" s="7"/>
      <c r="N51" s="7"/>
      <c r="O51" s="7"/>
      <c r="P51" s="7"/>
      <c r="Q51" s="7"/>
      <c r="R51" s="42"/>
      <c r="S51" s="33" t="s">
        <v>15</v>
      </c>
      <c r="T51" s="7"/>
      <c r="U51" s="7"/>
      <c r="V51" s="42"/>
      <c r="W51" s="11" t="s">
        <v>95</v>
      </c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>
      <c r="A52" s="9"/>
      <c r="B52" s="6" t="s">
        <v>96</v>
      </c>
      <c r="C52" s="6" t="s">
        <v>13</v>
      </c>
      <c r="D52" s="22">
        <v>1</v>
      </c>
      <c r="E52" s="7" t="s">
        <v>14</v>
      </c>
      <c r="F52" s="7"/>
      <c r="G52" s="7"/>
      <c r="H52" s="33" t="s">
        <v>15</v>
      </c>
      <c r="I52" s="7"/>
      <c r="J52" s="42"/>
      <c r="K52" s="33"/>
      <c r="L52" s="7"/>
      <c r="M52" s="7"/>
      <c r="N52" s="7"/>
      <c r="O52" s="7"/>
      <c r="P52" s="7"/>
      <c r="Q52" s="7"/>
      <c r="R52" s="42"/>
      <c r="S52" s="33" t="s">
        <v>15</v>
      </c>
      <c r="T52" s="7"/>
      <c r="U52" s="7"/>
      <c r="V52" s="42"/>
      <c r="W52" s="11" t="s">
        <v>97</v>
      </c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>
      <c r="A53" s="9"/>
      <c r="B53" s="6" t="s">
        <v>98</v>
      </c>
      <c r="C53" s="6" t="s">
        <v>13</v>
      </c>
      <c r="D53" s="22">
        <v>2</v>
      </c>
      <c r="E53" s="7" t="s">
        <v>15</v>
      </c>
      <c r="F53" s="7"/>
      <c r="G53" s="7"/>
      <c r="H53" s="33" t="s">
        <v>15</v>
      </c>
      <c r="I53" s="7"/>
      <c r="J53" s="42"/>
      <c r="K53" s="33"/>
      <c r="L53" s="7"/>
      <c r="M53" s="7"/>
      <c r="N53" s="7"/>
      <c r="O53" s="7"/>
      <c r="P53" s="7"/>
      <c r="Q53" s="7"/>
      <c r="R53" s="42"/>
      <c r="S53" s="33" t="s">
        <v>15</v>
      </c>
      <c r="T53" s="7"/>
      <c r="U53" s="7"/>
      <c r="V53" s="42"/>
      <c r="W53" s="11" t="s">
        <v>99</v>
      </c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>
      <c r="A54" s="9"/>
      <c r="B54" s="6" t="s">
        <v>100</v>
      </c>
      <c r="C54" s="6" t="s">
        <v>13</v>
      </c>
      <c r="D54" s="22">
        <v>1</v>
      </c>
      <c r="E54" s="7" t="s">
        <v>15</v>
      </c>
      <c r="F54" s="7"/>
      <c r="G54" s="7"/>
      <c r="H54" s="33" t="s">
        <v>15</v>
      </c>
      <c r="I54" s="7"/>
      <c r="J54" s="42"/>
      <c r="K54" s="33"/>
      <c r="L54" s="7"/>
      <c r="M54" s="7"/>
      <c r="N54" s="7"/>
      <c r="O54" s="7"/>
      <c r="P54" s="7"/>
      <c r="Q54" s="7"/>
      <c r="R54" s="42"/>
      <c r="S54" s="33" t="s">
        <v>15</v>
      </c>
      <c r="T54" s="7"/>
      <c r="U54" s="7"/>
      <c r="V54" s="42"/>
      <c r="W54" s="11" t="s">
        <v>101</v>
      </c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>
      <c r="A55" s="9"/>
      <c r="B55" s="6" t="s">
        <v>102</v>
      </c>
      <c r="C55" s="6" t="s">
        <v>22</v>
      </c>
      <c r="D55" s="22">
        <v>2</v>
      </c>
      <c r="E55" s="7" t="s">
        <v>14</v>
      </c>
      <c r="F55" s="7"/>
      <c r="G55" s="7"/>
      <c r="H55" s="33" t="s">
        <v>15</v>
      </c>
      <c r="I55" s="7"/>
      <c r="J55" s="42"/>
      <c r="K55" s="33"/>
      <c r="L55" s="7"/>
      <c r="M55" s="7"/>
      <c r="N55" s="7"/>
      <c r="O55" s="7"/>
      <c r="P55" s="7"/>
      <c r="Q55" s="7"/>
      <c r="R55" s="42"/>
      <c r="S55" s="33" t="s">
        <v>14</v>
      </c>
      <c r="T55" s="7"/>
      <c r="U55" s="7"/>
      <c r="V55" s="42"/>
      <c r="W55" s="11" t="s">
        <v>103</v>
      </c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>
      <c r="A56" s="9"/>
      <c r="B56" s="6" t="s">
        <v>104</v>
      </c>
      <c r="C56" s="6" t="s">
        <v>27</v>
      </c>
      <c r="D56" s="22">
        <v>1</v>
      </c>
      <c r="E56" s="62" t="s">
        <v>14</v>
      </c>
      <c r="F56" s="7"/>
      <c r="G56" s="7"/>
      <c r="H56" s="33" t="s">
        <v>15</v>
      </c>
      <c r="I56" s="7"/>
      <c r="J56" s="42"/>
      <c r="K56" s="59"/>
      <c r="L56" s="7"/>
      <c r="M56" s="7"/>
      <c r="N56" s="7"/>
      <c r="O56" s="7"/>
      <c r="P56" s="7"/>
      <c r="Q56" s="7"/>
      <c r="R56" s="42"/>
      <c r="S56" s="33" t="s">
        <v>15</v>
      </c>
      <c r="T56" s="7"/>
      <c r="U56" s="7"/>
      <c r="V56" s="42"/>
      <c r="W56" s="11" t="s">
        <v>257</v>
      </c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>
      <c r="A57" s="9"/>
      <c r="B57" s="6" t="s">
        <v>105</v>
      </c>
      <c r="C57" s="6" t="s">
        <v>22</v>
      </c>
      <c r="D57" s="22">
        <v>2</v>
      </c>
      <c r="E57" s="7" t="s">
        <v>15</v>
      </c>
      <c r="F57" s="7"/>
      <c r="G57" s="7"/>
      <c r="H57" s="33" t="s">
        <v>15</v>
      </c>
      <c r="I57" s="7"/>
      <c r="J57" s="42"/>
      <c r="K57" s="33"/>
      <c r="L57" s="7"/>
      <c r="M57" s="7"/>
      <c r="N57" s="7"/>
      <c r="O57" s="7"/>
      <c r="P57" s="7"/>
      <c r="Q57" s="7"/>
      <c r="R57" s="42"/>
      <c r="S57" s="33" t="s">
        <v>15</v>
      </c>
      <c r="T57" s="7"/>
      <c r="U57" s="7"/>
      <c r="V57" s="42"/>
      <c r="W57" s="11" t="s">
        <v>106</v>
      </c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>
      <c r="A58" s="9"/>
      <c r="B58" s="6" t="s">
        <v>261</v>
      </c>
      <c r="C58" s="6" t="s">
        <v>27</v>
      </c>
      <c r="D58" s="22">
        <v>1</v>
      </c>
      <c r="E58" s="7"/>
      <c r="F58" s="7"/>
      <c r="G58" s="7"/>
      <c r="H58" s="33"/>
      <c r="I58" s="7"/>
      <c r="J58" s="42"/>
      <c r="K58" s="59"/>
      <c r="L58" s="7"/>
      <c r="M58" s="7"/>
      <c r="N58" s="7"/>
      <c r="O58" s="7"/>
      <c r="P58" s="7"/>
      <c r="Q58" s="7"/>
      <c r="R58" s="42"/>
      <c r="S58" s="33" t="s">
        <v>15</v>
      </c>
      <c r="T58" s="7"/>
      <c r="U58" s="7"/>
      <c r="V58" s="42"/>
      <c r="W58" s="11" t="s">
        <v>262</v>
      </c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>
      <c r="A59" s="9"/>
      <c r="B59" s="6" t="s">
        <v>107</v>
      </c>
      <c r="C59" s="6" t="s">
        <v>27</v>
      </c>
      <c r="D59" s="22">
        <f>ROUND(50/(A50*40*1.2),2)</f>
        <v>2.74</v>
      </c>
      <c r="E59" s="7" t="s">
        <v>14</v>
      </c>
      <c r="F59" s="7"/>
      <c r="G59" s="7"/>
      <c r="H59" s="33" t="s">
        <v>15</v>
      </c>
      <c r="I59" s="7"/>
      <c r="J59" s="42"/>
      <c r="K59" s="33"/>
      <c r="L59" s="7"/>
      <c r="M59" s="7"/>
      <c r="N59" s="7"/>
      <c r="O59" s="7"/>
      <c r="P59" s="7"/>
      <c r="Q59" s="7"/>
      <c r="R59" s="42"/>
      <c r="S59" s="33" t="s">
        <v>15</v>
      </c>
      <c r="T59" s="7"/>
      <c r="U59" s="7"/>
      <c r="V59" s="42"/>
      <c r="W59" s="11" t="s">
        <v>108</v>
      </c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>
      <c r="A60" s="9"/>
      <c r="B60" s="6" t="s">
        <v>109</v>
      </c>
      <c r="C60" s="6" t="s">
        <v>22</v>
      </c>
      <c r="D60" s="22">
        <v>2</v>
      </c>
      <c r="E60" s="7" t="s">
        <v>15</v>
      </c>
      <c r="F60" s="7"/>
      <c r="G60" s="7"/>
      <c r="H60" s="33" t="s">
        <v>14</v>
      </c>
      <c r="I60" s="7"/>
      <c r="J60" s="42"/>
      <c r="K60" s="33"/>
      <c r="L60" s="7"/>
      <c r="M60" s="7"/>
      <c r="N60" s="7"/>
      <c r="O60" s="7"/>
      <c r="P60" s="7"/>
      <c r="Q60" s="7"/>
      <c r="R60" s="42"/>
      <c r="S60" s="33" t="s">
        <v>15</v>
      </c>
      <c r="T60" s="7"/>
      <c r="U60" s="7"/>
      <c r="V60" s="42"/>
      <c r="W60" s="11" t="s">
        <v>110</v>
      </c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>
      <c r="A61" s="9"/>
      <c r="B61" s="6" t="s">
        <v>270</v>
      </c>
      <c r="C61" s="6" t="s">
        <v>271</v>
      </c>
      <c r="D61" s="22">
        <v>1.21</v>
      </c>
      <c r="E61" s="7"/>
      <c r="F61" s="7"/>
      <c r="G61" s="7"/>
      <c r="H61" s="33"/>
      <c r="I61" s="7"/>
      <c r="J61" s="42"/>
      <c r="K61" s="33"/>
      <c r="L61" s="7"/>
      <c r="M61" s="7"/>
      <c r="N61" s="7"/>
      <c r="O61" s="7"/>
      <c r="P61" s="7"/>
      <c r="Q61" s="7"/>
      <c r="R61" s="42"/>
      <c r="S61" s="33"/>
      <c r="T61" s="7"/>
      <c r="U61" s="7"/>
      <c r="V61" s="42"/>
      <c r="W61" s="11" t="s">
        <v>272</v>
      </c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.75" customHeight="1">
      <c r="A62" s="9"/>
      <c r="B62" s="6" t="s">
        <v>509</v>
      </c>
      <c r="C62" s="6"/>
      <c r="D62" s="22"/>
      <c r="E62" s="7"/>
      <c r="F62" s="7"/>
      <c r="G62" s="7"/>
      <c r="H62" s="33"/>
      <c r="I62" s="7"/>
      <c r="J62" s="42"/>
      <c r="K62" s="33"/>
      <c r="L62" s="7"/>
      <c r="M62" s="7"/>
      <c r="N62" s="7"/>
      <c r="O62" s="7"/>
      <c r="P62" s="7"/>
      <c r="Q62" s="7"/>
      <c r="R62" s="42"/>
      <c r="S62" s="33"/>
      <c r="T62" s="7"/>
      <c r="U62" s="7"/>
      <c r="V62" s="42"/>
      <c r="W62" s="1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>
      <c r="A63" s="9"/>
      <c r="B63" s="6" t="s">
        <v>111</v>
      </c>
      <c r="C63" s="6" t="s">
        <v>13</v>
      </c>
      <c r="D63" s="22">
        <v>1.67</v>
      </c>
      <c r="E63" s="7" t="s">
        <v>15</v>
      </c>
      <c r="F63" s="7"/>
      <c r="G63" s="7"/>
      <c r="H63" s="33" t="s">
        <v>15</v>
      </c>
      <c r="I63" s="7"/>
      <c r="J63" s="42"/>
      <c r="K63" s="33"/>
      <c r="L63" s="7"/>
      <c r="M63" s="7"/>
      <c r="N63" s="7"/>
      <c r="O63" s="7"/>
      <c r="P63" s="7"/>
      <c r="Q63" s="7"/>
      <c r="R63" s="42"/>
      <c r="S63" s="33" t="s">
        <v>14</v>
      </c>
      <c r="T63" s="7"/>
      <c r="U63" s="7"/>
      <c r="V63" s="42"/>
      <c r="W63" s="1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>
      <c r="A64" s="15"/>
      <c r="B64" s="16" t="s">
        <v>112</v>
      </c>
      <c r="C64" s="16" t="s">
        <v>27</v>
      </c>
      <c r="D64" s="17">
        <v>1.39</v>
      </c>
      <c r="E64" s="7" t="s">
        <v>14</v>
      </c>
      <c r="F64" s="7"/>
      <c r="G64" s="7"/>
      <c r="H64" s="59" t="s">
        <v>15</v>
      </c>
      <c r="I64" s="7"/>
      <c r="J64" s="42"/>
      <c r="K64" s="59"/>
      <c r="L64" s="7"/>
      <c r="M64" s="7"/>
      <c r="N64" s="7"/>
      <c r="O64" s="7"/>
      <c r="P64" s="7"/>
      <c r="Q64" s="7"/>
      <c r="R64" s="42"/>
      <c r="S64" s="33" t="s">
        <v>15</v>
      </c>
      <c r="T64" s="7"/>
      <c r="U64" s="7"/>
      <c r="V64" s="42"/>
      <c r="W64" s="71" t="s">
        <v>187</v>
      </c>
      <c r="X64" s="18"/>
      <c r="Y64" s="19"/>
      <c r="Z64" s="19"/>
      <c r="AA64" s="19"/>
      <c r="AB64" s="19"/>
      <c r="AC64" s="19"/>
      <c r="AD64" s="1"/>
      <c r="AE64" s="1"/>
      <c r="AF64" s="1"/>
      <c r="AG64" s="1"/>
    </row>
    <row r="65" spans="1:33" ht="15.75" customHeight="1">
      <c r="A65" s="9"/>
      <c r="B65" s="6" t="s">
        <v>113</v>
      </c>
      <c r="C65" s="6" t="s">
        <v>22</v>
      </c>
      <c r="D65" s="22">
        <v>1</v>
      </c>
      <c r="E65" s="7" t="s">
        <v>14</v>
      </c>
      <c r="F65" s="7"/>
      <c r="G65" s="7"/>
      <c r="H65" s="59" t="s">
        <v>15</v>
      </c>
      <c r="I65" s="7"/>
      <c r="J65" s="42"/>
      <c r="K65" s="59"/>
      <c r="L65" s="7"/>
      <c r="M65" s="7"/>
      <c r="N65" s="7"/>
      <c r="O65" s="7"/>
      <c r="P65" s="7"/>
      <c r="Q65" s="7"/>
      <c r="R65" s="42"/>
      <c r="S65" s="33" t="s">
        <v>15</v>
      </c>
      <c r="T65" s="7"/>
      <c r="U65" s="7"/>
      <c r="V65" s="42"/>
      <c r="W65" s="20" t="s">
        <v>114</v>
      </c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>
      <c r="A66" s="9"/>
      <c r="B66" s="6" t="s">
        <v>115</v>
      </c>
      <c r="C66" s="6" t="s">
        <v>22</v>
      </c>
      <c r="D66" s="22">
        <v>0</v>
      </c>
      <c r="E66" s="7" t="s">
        <v>15</v>
      </c>
      <c r="F66" s="7"/>
      <c r="G66" s="7"/>
      <c r="H66" s="33" t="s">
        <v>15</v>
      </c>
      <c r="I66" s="7"/>
      <c r="J66" s="42"/>
      <c r="K66" s="33"/>
      <c r="L66" s="7"/>
      <c r="M66" s="7"/>
      <c r="N66" s="7"/>
      <c r="O66" s="7"/>
      <c r="P66" s="7"/>
      <c r="Q66" s="7"/>
      <c r="R66" s="42"/>
      <c r="S66" s="33" t="s">
        <v>15</v>
      </c>
      <c r="T66" s="7"/>
      <c r="U66" s="7"/>
      <c r="V66" s="42"/>
      <c r="W66" s="8" t="s">
        <v>18</v>
      </c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>
      <c r="A67" s="9"/>
      <c r="B67" s="6" t="s">
        <v>116</v>
      </c>
      <c r="C67" s="6" t="s">
        <v>22</v>
      </c>
      <c r="D67" s="22">
        <v>2.5</v>
      </c>
      <c r="E67" s="7" t="s">
        <v>15</v>
      </c>
      <c r="F67" s="7"/>
      <c r="G67" s="7"/>
      <c r="H67" s="33" t="s">
        <v>15</v>
      </c>
      <c r="I67" s="7"/>
      <c r="J67" s="42"/>
      <c r="K67" s="33"/>
      <c r="L67" s="7"/>
      <c r="M67" s="7"/>
      <c r="N67" s="7"/>
      <c r="O67" s="7"/>
      <c r="P67" s="7"/>
      <c r="Q67" s="7"/>
      <c r="R67" s="42"/>
      <c r="S67" s="33" t="s">
        <v>15</v>
      </c>
      <c r="T67" s="7"/>
      <c r="U67" s="7"/>
      <c r="V67" s="42"/>
      <c r="W67" s="11" t="s">
        <v>117</v>
      </c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13"/>
      <c r="B68" s="122" t="s">
        <v>49</v>
      </c>
      <c r="C68" s="123"/>
      <c r="D68" s="124"/>
      <c r="E68" s="14">
        <f t="shared" ref="E68:H68" si="2">COUNTIF(E48:E67,"○")</f>
        <v>8</v>
      </c>
      <c r="F68" s="31"/>
      <c r="G68" s="31"/>
      <c r="H68" s="34">
        <f t="shared" si="2"/>
        <v>1</v>
      </c>
      <c r="I68" s="31"/>
      <c r="J68" s="46"/>
      <c r="K68" s="34"/>
      <c r="L68" s="30"/>
      <c r="M68" s="30"/>
      <c r="N68" s="30"/>
      <c r="O68" s="30"/>
      <c r="P68" s="30"/>
      <c r="Q68" s="30"/>
      <c r="R68" s="46"/>
      <c r="S68" s="34"/>
      <c r="T68" s="31"/>
      <c r="U68" s="30"/>
      <c r="V68" s="46"/>
      <c r="W68" s="70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5" t="s">
        <v>118</v>
      </c>
      <c r="B69" s="6" t="s">
        <v>119</v>
      </c>
      <c r="C69" s="6" t="s">
        <v>13</v>
      </c>
      <c r="D69" s="22" t="s">
        <v>15</v>
      </c>
      <c r="E69" s="7" t="s">
        <v>15</v>
      </c>
      <c r="F69" s="7"/>
      <c r="G69" s="7"/>
      <c r="H69" s="33" t="s">
        <v>15</v>
      </c>
      <c r="I69" s="7"/>
      <c r="J69" s="42"/>
      <c r="K69" s="33"/>
      <c r="L69" s="7"/>
      <c r="M69" s="7"/>
      <c r="N69" s="7"/>
      <c r="O69" s="7"/>
      <c r="P69" s="7"/>
      <c r="Q69" s="7"/>
      <c r="R69" s="42"/>
      <c r="S69" s="33" t="s">
        <v>15</v>
      </c>
      <c r="T69" s="7"/>
      <c r="U69" s="7"/>
      <c r="V69" s="42"/>
      <c r="W69" s="11" t="s">
        <v>120</v>
      </c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9"/>
      <c r="B70" s="6" t="s">
        <v>121</v>
      </c>
      <c r="C70" s="6" t="s">
        <v>27</v>
      </c>
      <c r="D70" s="22">
        <v>2</v>
      </c>
      <c r="E70" s="61" t="s">
        <v>15</v>
      </c>
      <c r="F70" s="7"/>
      <c r="G70" s="7"/>
      <c r="H70" s="63" t="s">
        <v>15</v>
      </c>
      <c r="I70" s="7"/>
      <c r="J70" s="42"/>
      <c r="K70" s="33"/>
      <c r="L70" s="7"/>
      <c r="M70" s="7"/>
      <c r="N70" s="7"/>
      <c r="O70" s="7"/>
      <c r="P70" s="7"/>
      <c r="Q70" s="7"/>
      <c r="R70" s="42"/>
      <c r="S70" s="33" t="s">
        <v>15</v>
      </c>
      <c r="T70" s="7"/>
      <c r="U70" s="7"/>
      <c r="V70" s="42"/>
      <c r="W70" s="11" t="s">
        <v>122</v>
      </c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>
      <c r="A71" s="9"/>
      <c r="B71" s="6" t="s">
        <v>123</v>
      </c>
      <c r="C71" s="6" t="s">
        <v>22</v>
      </c>
      <c r="D71" s="22">
        <v>3</v>
      </c>
      <c r="E71" s="61" t="s">
        <v>15</v>
      </c>
      <c r="F71" s="7"/>
      <c r="G71" s="7"/>
      <c r="H71" s="33" t="s">
        <v>15</v>
      </c>
      <c r="I71" s="7"/>
      <c r="J71" s="42"/>
      <c r="K71" s="33"/>
      <c r="L71" s="7"/>
      <c r="M71" s="7"/>
      <c r="N71" s="7"/>
      <c r="O71" s="7"/>
      <c r="P71" s="7"/>
      <c r="Q71" s="7"/>
      <c r="R71" s="42"/>
      <c r="S71" s="33" t="s">
        <v>15</v>
      </c>
      <c r="T71" s="7"/>
      <c r="U71" s="7"/>
      <c r="V71" s="42"/>
      <c r="W71" s="11" t="s">
        <v>124</v>
      </c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>
      <c r="A72" s="9"/>
      <c r="B72" s="6" t="s">
        <v>248</v>
      </c>
      <c r="C72" s="6" t="s">
        <v>22</v>
      </c>
      <c r="D72" s="22">
        <v>2</v>
      </c>
      <c r="E72" s="61" t="s">
        <v>15</v>
      </c>
      <c r="F72" s="7"/>
      <c r="G72" s="7"/>
      <c r="H72" s="33" t="s">
        <v>14</v>
      </c>
      <c r="I72" s="7"/>
      <c r="J72" s="42"/>
      <c r="K72" s="59"/>
      <c r="L72" s="7"/>
      <c r="M72" s="7"/>
      <c r="N72" s="7"/>
      <c r="O72" s="7"/>
      <c r="P72" s="7"/>
      <c r="Q72" s="7"/>
      <c r="R72" s="42"/>
      <c r="S72" s="33" t="s">
        <v>15</v>
      </c>
      <c r="T72" s="7"/>
      <c r="U72" s="7"/>
      <c r="V72" s="42"/>
      <c r="W72" s="11" t="s">
        <v>250</v>
      </c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>
      <c r="A73" s="9"/>
      <c r="B73" s="6" t="s">
        <v>125</v>
      </c>
      <c r="C73" s="6" t="s">
        <v>22</v>
      </c>
      <c r="D73" s="22">
        <v>2</v>
      </c>
      <c r="E73" s="7" t="s">
        <v>15</v>
      </c>
      <c r="F73" s="7"/>
      <c r="G73" s="7"/>
      <c r="H73" s="33" t="s">
        <v>15</v>
      </c>
      <c r="I73" s="7"/>
      <c r="J73" s="42"/>
      <c r="K73" s="33"/>
      <c r="L73" s="7"/>
      <c r="M73" s="7"/>
      <c r="N73" s="7"/>
      <c r="O73" s="7"/>
      <c r="P73" s="7"/>
      <c r="Q73" s="7"/>
      <c r="R73" s="42"/>
      <c r="S73" s="33" t="s">
        <v>15</v>
      </c>
      <c r="T73" s="7"/>
      <c r="U73" s="7"/>
      <c r="V73" s="42"/>
      <c r="W73" s="11" t="s">
        <v>126</v>
      </c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>
      <c r="A74" s="9"/>
      <c r="B74" s="6" t="s">
        <v>127</v>
      </c>
      <c r="C74" s="6" t="s">
        <v>22</v>
      </c>
      <c r="D74" s="22">
        <v>3</v>
      </c>
      <c r="E74" s="7" t="s">
        <v>15</v>
      </c>
      <c r="F74" s="7"/>
      <c r="G74" s="7"/>
      <c r="H74" s="33" t="s">
        <v>15</v>
      </c>
      <c r="I74" s="7"/>
      <c r="J74" s="42"/>
      <c r="K74" s="33"/>
      <c r="L74" s="7"/>
      <c r="M74" s="7"/>
      <c r="N74" s="7"/>
      <c r="O74" s="7"/>
      <c r="P74" s="7"/>
      <c r="Q74" s="7"/>
      <c r="R74" s="42"/>
      <c r="S74" s="33" t="s">
        <v>15</v>
      </c>
      <c r="T74" s="7"/>
      <c r="U74" s="7"/>
      <c r="V74" s="42"/>
      <c r="W74" s="11" t="s">
        <v>128</v>
      </c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>
      <c r="A75" s="9"/>
      <c r="B75" s="6" t="s">
        <v>129</v>
      </c>
      <c r="C75" s="6" t="s">
        <v>13</v>
      </c>
      <c r="D75" s="22">
        <v>2</v>
      </c>
      <c r="E75" s="7" t="s">
        <v>15</v>
      </c>
      <c r="F75" s="7"/>
      <c r="G75" s="7"/>
      <c r="H75" s="33" t="s">
        <v>14</v>
      </c>
      <c r="I75" s="7"/>
      <c r="J75" s="42"/>
      <c r="K75" s="33"/>
      <c r="L75" s="7"/>
      <c r="M75" s="7"/>
      <c r="N75" s="7"/>
      <c r="O75" s="7"/>
      <c r="P75" s="7"/>
      <c r="Q75" s="7"/>
      <c r="R75" s="42"/>
      <c r="S75" s="33" t="s">
        <v>15</v>
      </c>
      <c r="T75" s="7"/>
      <c r="U75" s="7"/>
      <c r="V75" s="42"/>
      <c r="W75" s="11" t="s">
        <v>130</v>
      </c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>
      <c r="A76" s="9"/>
      <c r="B76" s="6" t="s">
        <v>273</v>
      </c>
      <c r="C76" s="6" t="s">
        <v>274</v>
      </c>
      <c r="D76" s="22">
        <v>1</v>
      </c>
      <c r="E76" s="7"/>
      <c r="F76" s="7"/>
      <c r="G76" s="7"/>
      <c r="H76" s="33"/>
      <c r="I76" s="7"/>
      <c r="J76" s="42"/>
      <c r="K76" s="33"/>
      <c r="L76" s="7"/>
      <c r="M76" s="7"/>
      <c r="N76" s="7"/>
      <c r="O76" s="7"/>
      <c r="P76" s="7"/>
      <c r="Q76" s="7"/>
      <c r="R76" s="42"/>
      <c r="S76" s="33"/>
      <c r="T76" s="7"/>
      <c r="U76" s="7"/>
      <c r="V76" s="42"/>
      <c r="W76" s="11" t="s">
        <v>275</v>
      </c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>
      <c r="A77" s="9"/>
      <c r="B77" s="6" t="s">
        <v>131</v>
      </c>
      <c r="C77" s="6" t="s">
        <v>27</v>
      </c>
      <c r="D77" s="22">
        <v>2</v>
      </c>
      <c r="E77" s="60" t="s">
        <v>15</v>
      </c>
      <c r="F77" s="7"/>
      <c r="G77" s="7"/>
      <c r="H77" s="33" t="s">
        <v>14</v>
      </c>
      <c r="I77" s="7"/>
      <c r="J77" s="42"/>
      <c r="K77" s="59"/>
      <c r="L77" s="7"/>
      <c r="M77" s="7"/>
      <c r="N77" s="7"/>
      <c r="O77" s="7"/>
      <c r="P77" s="7"/>
      <c r="Q77" s="7"/>
      <c r="R77" s="42"/>
      <c r="S77" s="33" t="s">
        <v>15</v>
      </c>
      <c r="T77" s="7"/>
      <c r="U77" s="7"/>
      <c r="V77" s="42"/>
      <c r="W77" s="11" t="s">
        <v>185</v>
      </c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9"/>
      <c r="B78" s="6" t="s">
        <v>253</v>
      </c>
      <c r="C78" s="6" t="s">
        <v>27</v>
      </c>
      <c r="D78" s="22">
        <v>2</v>
      </c>
      <c r="E78" s="60"/>
      <c r="F78" s="7"/>
      <c r="G78" s="7"/>
      <c r="H78" s="63" t="s">
        <v>14</v>
      </c>
      <c r="I78" s="7"/>
      <c r="J78" s="42"/>
      <c r="K78" s="59"/>
      <c r="L78" s="7"/>
      <c r="M78" s="7"/>
      <c r="N78" s="7"/>
      <c r="O78" s="7"/>
      <c r="P78" s="7"/>
      <c r="Q78" s="7"/>
      <c r="R78" s="42"/>
      <c r="S78" s="33" t="s">
        <v>15</v>
      </c>
      <c r="T78" s="7"/>
      <c r="U78" s="7"/>
      <c r="V78" s="42"/>
      <c r="W78" s="11" t="s">
        <v>254</v>
      </c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9"/>
      <c r="B79" s="6" t="s">
        <v>132</v>
      </c>
      <c r="C79" s="6" t="s">
        <v>13</v>
      </c>
      <c r="D79" s="22">
        <v>1.67</v>
      </c>
      <c r="E79" s="60" t="s">
        <v>15</v>
      </c>
      <c r="F79" s="7"/>
      <c r="G79" s="7"/>
      <c r="H79" s="33" t="s">
        <v>14</v>
      </c>
      <c r="I79" s="7"/>
      <c r="J79" s="42"/>
      <c r="K79" s="33"/>
      <c r="L79" s="7"/>
      <c r="M79" s="7"/>
      <c r="N79" s="7"/>
      <c r="O79" s="7"/>
      <c r="P79" s="7"/>
      <c r="Q79" s="7"/>
      <c r="R79" s="42"/>
      <c r="S79" s="33" t="s">
        <v>15</v>
      </c>
      <c r="T79" s="7"/>
      <c r="U79" s="7"/>
      <c r="V79" s="42"/>
      <c r="W79" s="11" t="s">
        <v>133</v>
      </c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3"/>
      <c r="B80" s="122" t="s">
        <v>49</v>
      </c>
      <c r="C80" s="123"/>
      <c r="D80" s="124"/>
      <c r="E80" s="14">
        <f t="shared" ref="E80:H80" si="3">COUNTIF(E69:E79,"○")</f>
        <v>0</v>
      </c>
      <c r="F80" s="31"/>
      <c r="G80" s="31"/>
      <c r="H80" s="34">
        <f t="shared" si="3"/>
        <v>5</v>
      </c>
      <c r="I80" s="31"/>
      <c r="J80" s="46"/>
      <c r="K80" s="34"/>
      <c r="L80" s="30"/>
      <c r="M80" s="30"/>
      <c r="N80" s="30"/>
      <c r="O80" s="30"/>
      <c r="P80" s="30"/>
      <c r="Q80" s="30"/>
      <c r="R80" s="46"/>
      <c r="S80" s="34"/>
      <c r="T80" s="31"/>
      <c r="U80" s="30"/>
      <c r="V80" s="46"/>
      <c r="W80" s="70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5" t="s">
        <v>134</v>
      </c>
      <c r="B81" s="6" t="s">
        <v>135</v>
      </c>
      <c r="C81" s="6" t="s">
        <v>22</v>
      </c>
      <c r="D81" s="22">
        <v>3</v>
      </c>
      <c r="E81" s="60" t="s">
        <v>15</v>
      </c>
      <c r="F81" s="7"/>
      <c r="G81" s="7"/>
      <c r="H81" s="59" t="s">
        <v>15</v>
      </c>
      <c r="I81" s="7"/>
      <c r="J81" s="42"/>
      <c r="K81" s="59"/>
      <c r="L81" s="7"/>
      <c r="M81" s="7"/>
      <c r="N81" s="7"/>
      <c r="O81" s="7"/>
      <c r="P81" s="7"/>
      <c r="Q81" s="7"/>
      <c r="R81" s="42"/>
      <c r="S81" s="33" t="s">
        <v>15</v>
      </c>
      <c r="T81" s="7"/>
      <c r="U81" s="7"/>
      <c r="V81" s="42"/>
      <c r="W81" s="1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>
      <c r="A82" s="15"/>
      <c r="B82" s="6" t="s">
        <v>136</v>
      </c>
      <c r="C82" s="6" t="s">
        <v>22</v>
      </c>
      <c r="D82" s="22">
        <v>1</v>
      </c>
      <c r="E82" s="7" t="s">
        <v>14</v>
      </c>
      <c r="F82" s="7"/>
      <c r="G82" s="7"/>
      <c r="H82" s="33" t="s">
        <v>15</v>
      </c>
      <c r="I82" s="7"/>
      <c r="J82" s="42"/>
      <c r="K82" s="33"/>
      <c r="L82" s="7"/>
      <c r="M82" s="7"/>
      <c r="N82" s="7"/>
      <c r="O82" s="7"/>
      <c r="P82" s="7"/>
      <c r="Q82" s="7"/>
      <c r="R82" s="42"/>
      <c r="S82" s="33" t="s">
        <v>15</v>
      </c>
      <c r="T82" s="7"/>
      <c r="U82" s="7"/>
      <c r="V82" s="42"/>
      <c r="W82" s="21"/>
      <c r="X82" s="1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ht="15.75" customHeight="1">
      <c r="A83" s="9"/>
      <c r="B83" s="6" t="s">
        <v>137</v>
      </c>
      <c r="C83" s="6" t="s">
        <v>13</v>
      </c>
      <c r="D83" s="22">
        <v>3</v>
      </c>
      <c r="E83" s="7" t="s">
        <v>14</v>
      </c>
      <c r="F83" s="7"/>
      <c r="G83" s="7"/>
      <c r="H83" s="33" t="s">
        <v>15</v>
      </c>
      <c r="I83" s="7"/>
      <c r="J83" s="42"/>
      <c r="K83" s="33"/>
      <c r="L83" s="7"/>
      <c r="M83" s="7"/>
      <c r="N83" s="7"/>
      <c r="O83" s="7"/>
      <c r="P83" s="7"/>
      <c r="Q83" s="7"/>
      <c r="R83" s="42"/>
      <c r="S83" s="33" t="s">
        <v>15</v>
      </c>
      <c r="T83" s="7"/>
      <c r="U83" s="7"/>
      <c r="V83" s="42"/>
      <c r="W83" s="11" t="s">
        <v>138</v>
      </c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customHeight="1">
      <c r="A84" s="9"/>
      <c r="B84" s="6" t="s">
        <v>139</v>
      </c>
      <c r="C84" s="6" t="s">
        <v>13</v>
      </c>
      <c r="D84" s="22">
        <v>3</v>
      </c>
      <c r="E84" s="7" t="s">
        <v>14</v>
      </c>
      <c r="F84" s="7"/>
      <c r="G84" s="7"/>
      <c r="H84" s="33" t="s">
        <v>15</v>
      </c>
      <c r="I84" s="7"/>
      <c r="J84" s="42"/>
      <c r="K84" s="33"/>
      <c r="L84" s="7"/>
      <c r="M84" s="7"/>
      <c r="N84" s="7"/>
      <c r="O84" s="7"/>
      <c r="P84" s="7"/>
      <c r="Q84" s="7"/>
      <c r="R84" s="42"/>
      <c r="S84" s="33" t="s">
        <v>15</v>
      </c>
      <c r="T84" s="7"/>
      <c r="U84" s="7"/>
      <c r="V84" s="42"/>
      <c r="W84" s="11" t="s">
        <v>188</v>
      </c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customHeight="1">
      <c r="A85" s="9"/>
      <c r="B85" s="6" t="s">
        <v>140</v>
      </c>
      <c r="C85" s="6" t="s">
        <v>13</v>
      </c>
      <c r="D85" s="22">
        <v>3</v>
      </c>
      <c r="E85" s="7" t="s">
        <v>14</v>
      </c>
      <c r="F85" s="7"/>
      <c r="G85" s="7"/>
      <c r="H85" s="33" t="s">
        <v>15</v>
      </c>
      <c r="I85" s="7"/>
      <c r="J85" s="42"/>
      <c r="K85" s="33"/>
      <c r="L85" s="7"/>
      <c r="M85" s="7"/>
      <c r="N85" s="7"/>
      <c r="O85" s="7"/>
      <c r="P85" s="7"/>
      <c r="Q85" s="7"/>
      <c r="R85" s="42"/>
      <c r="S85" s="33" t="s">
        <v>15</v>
      </c>
      <c r="T85" s="7"/>
      <c r="U85" s="7"/>
      <c r="V85" s="42"/>
      <c r="W85" s="11" t="s">
        <v>141</v>
      </c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.75" customHeight="1">
      <c r="A86" s="9"/>
      <c r="B86" s="6" t="s">
        <v>142</v>
      </c>
      <c r="C86" s="6" t="s">
        <v>13</v>
      </c>
      <c r="D86" s="22">
        <v>2.78</v>
      </c>
      <c r="E86" s="7" t="s">
        <v>15</v>
      </c>
      <c r="F86" s="7"/>
      <c r="G86" s="7"/>
      <c r="H86" s="33" t="s">
        <v>15</v>
      </c>
      <c r="I86" s="7"/>
      <c r="J86" s="42"/>
      <c r="K86" s="33"/>
      <c r="L86" s="7"/>
      <c r="M86" s="7"/>
      <c r="N86" s="7"/>
      <c r="O86" s="7"/>
      <c r="P86" s="7"/>
      <c r="Q86" s="7"/>
      <c r="R86" s="42"/>
      <c r="S86" s="33" t="s">
        <v>15</v>
      </c>
      <c r="T86" s="7"/>
      <c r="U86" s="7"/>
      <c r="V86" s="42"/>
      <c r="W86" s="11" t="s">
        <v>143</v>
      </c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.75" customHeight="1">
      <c r="A87" s="9"/>
      <c r="B87" s="6" t="s">
        <v>144</v>
      </c>
      <c r="C87" s="6" t="s">
        <v>13</v>
      </c>
      <c r="D87" s="22">
        <v>2.5</v>
      </c>
      <c r="E87" s="7" t="s">
        <v>14</v>
      </c>
      <c r="F87" s="7"/>
      <c r="G87" s="7"/>
      <c r="H87" s="33" t="s">
        <v>15</v>
      </c>
      <c r="I87" s="7"/>
      <c r="J87" s="42"/>
      <c r="K87" s="33"/>
      <c r="L87" s="7"/>
      <c r="M87" s="7"/>
      <c r="N87" s="7"/>
      <c r="O87" s="7"/>
      <c r="P87" s="7"/>
      <c r="Q87" s="7"/>
      <c r="R87" s="42"/>
      <c r="S87" s="33" t="s">
        <v>15</v>
      </c>
      <c r="T87" s="7"/>
      <c r="U87" s="7"/>
      <c r="V87" s="42"/>
      <c r="W87" s="11" t="s">
        <v>145</v>
      </c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customHeight="1">
      <c r="A88" s="9"/>
      <c r="B88" s="6" t="s">
        <v>146</v>
      </c>
      <c r="C88" s="6" t="s">
        <v>13</v>
      </c>
      <c r="D88" s="22">
        <v>2.5</v>
      </c>
      <c r="E88" s="7" t="s">
        <v>15</v>
      </c>
      <c r="F88" s="7"/>
      <c r="G88" s="7"/>
      <c r="H88" s="58" t="s">
        <v>14</v>
      </c>
      <c r="I88" s="7"/>
      <c r="J88" s="42"/>
      <c r="K88" s="33"/>
      <c r="L88" s="7"/>
      <c r="M88" s="7"/>
      <c r="N88" s="7"/>
      <c r="O88" s="7"/>
      <c r="P88" s="7"/>
      <c r="Q88" s="7"/>
      <c r="R88" s="42"/>
      <c r="S88" s="33" t="s">
        <v>15</v>
      </c>
      <c r="T88" s="7"/>
      <c r="U88" s="7"/>
      <c r="V88" s="42"/>
      <c r="W88" s="11" t="s">
        <v>147</v>
      </c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.75" customHeight="1">
      <c r="A89" s="9"/>
      <c r="B89" s="6" t="s">
        <v>148</v>
      </c>
      <c r="C89" s="6" t="s">
        <v>13</v>
      </c>
      <c r="D89" s="22">
        <v>2.08</v>
      </c>
      <c r="E89" s="7" t="s">
        <v>14</v>
      </c>
      <c r="F89" s="7"/>
      <c r="G89" s="7"/>
      <c r="H89" s="33" t="s">
        <v>15</v>
      </c>
      <c r="I89" s="7"/>
      <c r="J89" s="42"/>
      <c r="K89" s="33"/>
      <c r="L89" s="7"/>
      <c r="M89" s="7"/>
      <c r="N89" s="7"/>
      <c r="O89" s="7"/>
      <c r="P89" s="7"/>
      <c r="Q89" s="7"/>
      <c r="R89" s="42"/>
      <c r="S89" s="33" t="s">
        <v>14</v>
      </c>
      <c r="T89" s="7"/>
      <c r="U89" s="7"/>
      <c r="V89" s="42"/>
      <c r="W89" s="11" t="s">
        <v>149</v>
      </c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.75" customHeight="1">
      <c r="A90" s="9"/>
      <c r="B90" s="6" t="s">
        <v>150</v>
      </c>
      <c r="C90" s="6" t="s">
        <v>27</v>
      </c>
      <c r="D90" s="22">
        <v>3.29</v>
      </c>
      <c r="E90" s="7" t="s">
        <v>14</v>
      </c>
      <c r="F90" s="7"/>
      <c r="G90" s="7"/>
      <c r="H90" s="59" t="s">
        <v>15</v>
      </c>
      <c r="I90" s="7"/>
      <c r="J90" s="42"/>
      <c r="K90" s="59"/>
      <c r="L90" s="7"/>
      <c r="M90" s="7"/>
      <c r="N90" s="7"/>
      <c r="O90" s="7"/>
      <c r="P90" s="7"/>
      <c r="Q90" s="7"/>
      <c r="R90" s="42"/>
      <c r="S90" s="33" t="s">
        <v>15</v>
      </c>
      <c r="T90" s="7"/>
      <c r="U90" s="7"/>
      <c r="V90" s="42"/>
      <c r="W90" s="11" t="s">
        <v>151</v>
      </c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customHeight="1">
      <c r="A91" s="9"/>
      <c r="B91" s="6" t="s">
        <v>152</v>
      </c>
      <c r="C91" s="6" t="s">
        <v>22</v>
      </c>
      <c r="D91" s="22">
        <v>3</v>
      </c>
      <c r="E91" s="7" t="s">
        <v>14</v>
      </c>
      <c r="F91" s="7"/>
      <c r="G91" s="7"/>
      <c r="H91" s="33" t="s">
        <v>15</v>
      </c>
      <c r="I91" s="7"/>
      <c r="J91" s="42"/>
      <c r="K91" s="33"/>
      <c r="L91" s="7"/>
      <c r="M91" s="7"/>
      <c r="N91" s="7"/>
      <c r="O91" s="7"/>
      <c r="P91" s="7"/>
      <c r="Q91" s="7"/>
      <c r="R91" s="42"/>
      <c r="S91" s="33" t="s">
        <v>15</v>
      </c>
      <c r="T91" s="7"/>
      <c r="U91" s="7"/>
      <c r="V91" s="42"/>
      <c r="W91" s="11" t="s">
        <v>153</v>
      </c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customHeight="1">
      <c r="A92" s="9"/>
      <c r="B92" s="6" t="s">
        <v>154</v>
      </c>
      <c r="C92" s="6" t="s">
        <v>13</v>
      </c>
      <c r="D92" s="22">
        <v>1</v>
      </c>
      <c r="E92" s="61" t="s">
        <v>15</v>
      </c>
      <c r="F92" s="7"/>
      <c r="G92" s="7"/>
      <c r="H92" s="33" t="s">
        <v>15</v>
      </c>
      <c r="I92" s="7"/>
      <c r="J92" s="42"/>
      <c r="K92" s="33"/>
      <c r="L92" s="7"/>
      <c r="M92" s="7"/>
      <c r="N92" s="7"/>
      <c r="O92" s="7"/>
      <c r="P92" s="7"/>
      <c r="Q92" s="7"/>
      <c r="R92" s="42"/>
      <c r="S92" s="33" t="s">
        <v>15</v>
      </c>
      <c r="T92" s="7"/>
      <c r="U92" s="7"/>
      <c r="V92" s="42"/>
      <c r="W92" s="1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customHeight="1">
      <c r="A93" s="9"/>
      <c r="B93" s="6" t="s">
        <v>155</v>
      </c>
      <c r="C93" s="6" t="s">
        <v>22</v>
      </c>
      <c r="D93" s="22">
        <v>2.27</v>
      </c>
      <c r="E93" s="7" t="s">
        <v>15</v>
      </c>
      <c r="F93" s="7"/>
      <c r="G93" s="7"/>
      <c r="H93" s="33" t="s">
        <v>15</v>
      </c>
      <c r="I93" s="7"/>
      <c r="J93" s="42"/>
      <c r="K93" s="33"/>
      <c r="L93" s="7"/>
      <c r="M93" s="7"/>
      <c r="N93" s="7"/>
      <c r="O93" s="7"/>
      <c r="P93" s="7"/>
      <c r="Q93" s="7"/>
      <c r="R93" s="42"/>
      <c r="S93" s="33" t="s">
        <v>15</v>
      </c>
      <c r="T93" s="7"/>
      <c r="U93" s="7"/>
      <c r="V93" s="42"/>
      <c r="W93" s="11" t="s">
        <v>117</v>
      </c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customHeight="1">
      <c r="A94" s="9"/>
      <c r="B94" s="6" t="s">
        <v>156</v>
      </c>
      <c r="C94" s="6" t="s">
        <v>27</v>
      </c>
      <c r="D94" s="22">
        <v>1</v>
      </c>
      <c r="E94" s="7" t="s">
        <v>15</v>
      </c>
      <c r="F94" s="7"/>
      <c r="G94" s="7"/>
      <c r="H94" s="33" t="s">
        <v>15</v>
      </c>
      <c r="I94" s="7"/>
      <c r="J94" s="42"/>
      <c r="K94" s="33"/>
      <c r="L94" s="7"/>
      <c r="M94" s="7"/>
      <c r="N94" s="7"/>
      <c r="O94" s="7"/>
      <c r="P94" s="7"/>
      <c r="Q94" s="7"/>
      <c r="R94" s="42"/>
      <c r="S94" s="33" t="s">
        <v>15</v>
      </c>
      <c r="T94" s="7"/>
      <c r="U94" s="7"/>
      <c r="V94" s="42"/>
      <c r="W94" s="11" t="s">
        <v>157</v>
      </c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customHeight="1">
      <c r="A95" s="9"/>
      <c r="B95" s="6" t="s">
        <v>158</v>
      </c>
      <c r="C95" s="6" t="s">
        <v>27</v>
      </c>
      <c r="D95" s="22">
        <v>1</v>
      </c>
      <c r="E95" s="7" t="s">
        <v>14</v>
      </c>
      <c r="F95" s="7"/>
      <c r="G95" s="7"/>
      <c r="H95" s="33" t="s">
        <v>15</v>
      </c>
      <c r="I95" s="7"/>
      <c r="J95" s="42"/>
      <c r="K95" s="33"/>
      <c r="L95" s="7"/>
      <c r="M95" s="7"/>
      <c r="N95" s="7"/>
      <c r="O95" s="7"/>
      <c r="P95" s="7"/>
      <c r="Q95" s="7"/>
      <c r="R95" s="42"/>
      <c r="S95" s="33" t="s">
        <v>15</v>
      </c>
      <c r="T95" s="7"/>
      <c r="U95" s="7"/>
      <c r="V95" s="42"/>
      <c r="W95" s="8" t="s">
        <v>159</v>
      </c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customHeight="1">
      <c r="A96" s="9"/>
      <c r="B96" s="6" t="s">
        <v>160</v>
      </c>
      <c r="C96" s="6" t="s">
        <v>22</v>
      </c>
      <c r="D96" s="22">
        <v>2</v>
      </c>
      <c r="E96" s="7" t="s">
        <v>15</v>
      </c>
      <c r="F96" s="7"/>
      <c r="G96" s="7"/>
      <c r="H96" s="33" t="s">
        <v>15</v>
      </c>
      <c r="I96" s="7"/>
      <c r="J96" s="42"/>
      <c r="K96" s="33"/>
      <c r="L96" s="7"/>
      <c r="M96" s="7"/>
      <c r="N96" s="7"/>
      <c r="O96" s="7"/>
      <c r="P96" s="7"/>
      <c r="Q96" s="7"/>
      <c r="R96" s="42"/>
      <c r="S96" s="33" t="s">
        <v>15</v>
      </c>
      <c r="T96" s="7"/>
      <c r="U96" s="7"/>
      <c r="V96" s="42"/>
      <c r="W96" s="11" t="s">
        <v>161</v>
      </c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customHeight="1">
      <c r="A97" s="9"/>
      <c r="B97" s="6" t="s">
        <v>162</v>
      </c>
      <c r="C97" s="6" t="s">
        <v>22</v>
      </c>
      <c r="D97" s="22">
        <v>1.25</v>
      </c>
      <c r="E97" s="7" t="s">
        <v>15</v>
      </c>
      <c r="F97" s="7"/>
      <c r="G97" s="7"/>
      <c r="H97" s="33" t="s">
        <v>15</v>
      </c>
      <c r="I97" s="7"/>
      <c r="J97" s="42"/>
      <c r="K97" s="33"/>
      <c r="L97" s="7"/>
      <c r="M97" s="7"/>
      <c r="N97" s="7"/>
      <c r="O97" s="7"/>
      <c r="P97" s="7"/>
      <c r="Q97" s="7"/>
      <c r="R97" s="42"/>
      <c r="S97" s="33" t="s">
        <v>14</v>
      </c>
      <c r="T97" s="7"/>
      <c r="U97" s="7"/>
      <c r="V97" s="42"/>
      <c r="W97" s="11" t="s">
        <v>163</v>
      </c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>
      <c r="A98" s="9"/>
      <c r="B98" s="6" t="s">
        <v>164</v>
      </c>
      <c r="C98" s="23" t="s">
        <v>165</v>
      </c>
      <c r="D98" s="22">
        <v>1.25</v>
      </c>
      <c r="E98" s="7" t="s">
        <v>15</v>
      </c>
      <c r="F98" s="7"/>
      <c r="G98" s="7"/>
      <c r="H98" s="33" t="s">
        <v>15</v>
      </c>
      <c r="I98" s="7"/>
      <c r="J98" s="42"/>
      <c r="K98" s="33"/>
      <c r="L98" s="7"/>
      <c r="M98" s="7"/>
      <c r="N98" s="7"/>
      <c r="O98" s="7"/>
      <c r="P98" s="7"/>
      <c r="Q98" s="7"/>
      <c r="R98" s="42"/>
      <c r="S98" s="33" t="s">
        <v>14</v>
      </c>
      <c r="T98" s="7"/>
      <c r="U98" s="7"/>
      <c r="V98" s="42"/>
      <c r="W98" s="11" t="s">
        <v>166</v>
      </c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customHeight="1">
      <c r="A99" s="9"/>
      <c r="B99" s="6" t="s">
        <v>167</v>
      </c>
      <c r="C99" s="6" t="s">
        <v>13</v>
      </c>
      <c r="D99" s="22">
        <v>4.17</v>
      </c>
      <c r="E99" s="7" t="s">
        <v>14</v>
      </c>
      <c r="F99" s="7"/>
      <c r="G99" s="7"/>
      <c r="H99" s="33" t="s">
        <v>15</v>
      </c>
      <c r="I99" s="7"/>
      <c r="J99" s="42"/>
      <c r="K99" s="33"/>
      <c r="L99" s="7"/>
      <c r="M99" s="7"/>
      <c r="N99" s="7"/>
      <c r="O99" s="7"/>
      <c r="P99" s="7"/>
      <c r="Q99" s="7"/>
      <c r="R99" s="42"/>
      <c r="S99" s="33" t="s">
        <v>15</v>
      </c>
      <c r="T99" s="7"/>
      <c r="U99" s="7"/>
      <c r="V99" s="42"/>
      <c r="W99" s="11" t="s">
        <v>168</v>
      </c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customHeight="1">
      <c r="A100" s="9"/>
      <c r="B100" s="6" t="s">
        <v>169</v>
      </c>
      <c r="C100" s="6" t="s">
        <v>22</v>
      </c>
      <c r="D100" s="22">
        <v>4.17</v>
      </c>
      <c r="E100" s="7" t="s">
        <v>15</v>
      </c>
      <c r="F100" s="7"/>
      <c r="G100" s="7"/>
      <c r="H100" s="33" t="s">
        <v>15</v>
      </c>
      <c r="I100" s="7"/>
      <c r="J100" s="42"/>
      <c r="K100" s="33"/>
      <c r="L100" s="7"/>
      <c r="M100" s="7"/>
      <c r="N100" s="7"/>
      <c r="O100" s="7"/>
      <c r="P100" s="7"/>
      <c r="Q100" s="7"/>
      <c r="R100" s="42"/>
      <c r="S100" s="33" t="s">
        <v>15</v>
      </c>
      <c r="T100" s="7"/>
      <c r="U100" s="7"/>
      <c r="V100" s="42"/>
      <c r="W100" s="11" t="s">
        <v>170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customHeight="1">
      <c r="A101" s="9"/>
      <c r="B101" s="6" t="s">
        <v>171</v>
      </c>
      <c r="C101" s="6" t="s">
        <v>27</v>
      </c>
      <c r="D101" s="22">
        <v>3.29</v>
      </c>
      <c r="E101" s="7" t="s">
        <v>14</v>
      </c>
      <c r="F101" s="7"/>
      <c r="G101" s="7"/>
      <c r="H101" s="33" t="s">
        <v>15</v>
      </c>
      <c r="I101" s="7"/>
      <c r="J101" s="42"/>
      <c r="K101" s="33"/>
      <c r="L101" s="7"/>
      <c r="M101" s="7"/>
      <c r="N101" s="7"/>
      <c r="O101" s="7"/>
      <c r="P101" s="7"/>
      <c r="Q101" s="7"/>
      <c r="R101" s="42"/>
      <c r="S101" s="33" t="s">
        <v>15</v>
      </c>
      <c r="T101" s="7"/>
      <c r="U101" s="7"/>
      <c r="V101" s="42"/>
      <c r="W101" s="11" t="s">
        <v>172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customHeight="1">
      <c r="A102" s="9"/>
      <c r="B102" s="6" t="s">
        <v>173</v>
      </c>
      <c r="C102" s="6" t="s">
        <v>27</v>
      </c>
      <c r="D102" s="22">
        <v>1</v>
      </c>
      <c r="E102" s="7" t="s">
        <v>14</v>
      </c>
      <c r="F102" s="7"/>
      <c r="G102" s="7"/>
      <c r="H102" s="59" t="s">
        <v>15</v>
      </c>
      <c r="I102" s="7"/>
      <c r="J102" s="42"/>
      <c r="K102" s="59"/>
      <c r="L102" s="7"/>
      <c r="M102" s="7"/>
      <c r="N102" s="7"/>
      <c r="O102" s="7"/>
      <c r="P102" s="7"/>
      <c r="Q102" s="7"/>
      <c r="R102" s="42"/>
      <c r="S102" s="33" t="s">
        <v>15</v>
      </c>
      <c r="T102" s="7"/>
      <c r="U102" s="7"/>
      <c r="V102" s="42"/>
      <c r="W102" s="6" t="s">
        <v>186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customHeight="1">
      <c r="A103" s="9"/>
      <c r="B103" s="6" t="s">
        <v>174</v>
      </c>
      <c r="C103" s="6" t="s">
        <v>13</v>
      </c>
      <c r="D103" s="22">
        <v>1.5</v>
      </c>
      <c r="E103" s="7" t="s">
        <v>14</v>
      </c>
      <c r="F103" s="7"/>
      <c r="G103" s="7"/>
      <c r="H103" s="33" t="s">
        <v>15</v>
      </c>
      <c r="I103" s="7"/>
      <c r="J103" s="42"/>
      <c r="K103" s="59"/>
      <c r="L103" s="7"/>
      <c r="M103" s="7"/>
      <c r="N103" s="7"/>
      <c r="O103" s="7"/>
      <c r="P103" s="7"/>
      <c r="Q103" s="7"/>
      <c r="R103" s="42"/>
      <c r="S103" s="33" t="s">
        <v>15</v>
      </c>
      <c r="T103" s="7"/>
      <c r="U103" s="7"/>
      <c r="V103" s="42"/>
      <c r="W103" s="11" t="s">
        <v>189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customHeight="1">
      <c r="A104" s="9"/>
      <c r="B104" s="6" t="s">
        <v>251</v>
      </c>
      <c r="C104" s="6" t="s">
        <v>27</v>
      </c>
      <c r="D104" s="22">
        <v>2.5</v>
      </c>
      <c r="E104" s="62" t="s">
        <v>14</v>
      </c>
      <c r="F104" s="7"/>
      <c r="G104" s="7"/>
      <c r="H104" s="33"/>
      <c r="I104" s="7"/>
      <c r="J104" s="42"/>
      <c r="K104" s="59"/>
      <c r="L104" s="7"/>
      <c r="M104" s="7"/>
      <c r="N104" s="7"/>
      <c r="O104" s="7"/>
      <c r="P104" s="7"/>
      <c r="Q104" s="7"/>
      <c r="R104" s="42"/>
      <c r="S104" s="33" t="s">
        <v>15</v>
      </c>
      <c r="T104" s="7"/>
      <c r="U104" s="7"/>
      <c r="V104" s="42"/>
      <c r="W104" s="11" t="s">
        <v>252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customHeight="1">
      <c r="A105" s="9"/>
      <c r="B105" s="6" t="s">
        <v>331</v>
      </c>
      <c r="C105" s="6" t="s">
        <v>332</v>
      </c>
      <c r="D105" s="22"/>
      <c r="E105" s="62"/>
      <c r="F105" s="7"/>
      <c r="G105" s="7"/>
      <c r="H105" s="33"/>
      <c r="I105" s="7"/>
      <c r="J105" s="42"/>
      <c r="K105" s="59"/>
      <c r="L105" s="7"/>
      <c r="M105" s="7"/>
      <c r="N105" s="7"/>
      <c r="O105" s="7"/>
      <c r="P105" s="7"/>
      <c r="Q105" s="7"/>
      <c r="R105" s="42"/>
      <c r="S105" s="33"/>
      <c r="T105" s="7"/>
      <c r="U105" s="7"/>
      <c r="V105" s="42"/>
      <c r="W105" s="11" t="s">
        <v>333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customHeight="1">
      <c r="A106" s="9"/>
      <c r="B106" s="6" t="s">
        <v>175</v>
      </c>
      <c r="C106" s="6" t="s">
        <v>27</v>
      </c>
      <c r="D106" s="22" t="s">
        <v>15</v>
      </c>
      <c r="E106" s="7" t="s">
        <v>15</v>
      </c>
      <c r="F106" s="7"/>
      <c r="G106" s="7"/>
      <c r="H106" s="33" t="s">
        <v>15</v>
      </c>
      <c r="I106" s="7"/>
      <c r="J106" s="42"/>
      <c r="K106" s="33"/>
      <c r="L106" s="7"/>
      <c r="M106" s="7"/>
      <c r="N106" s="7"/>
      <c r="O106" s="7"/>
      <c r="P106" s="7"/>
      <c r="Q106" s="7"/>
      <c r="R106" s="42"/>
      <c r="S106" s="33" t="s">
        <v>15</v>
      </c>
      <c r="T106" s="7"/>
      <c r="U106" s="7"/>
      <c r="V106" s="42"/>
      <c r="W106" s="1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>
      <c r="A107" s="9"/>
      <c r="B107" s="6" t="s">
        <v>176</v>
      </c>
      <c r="C107" s="6" t="s">
        <v>22</v>
      </c>
      <c r="D107" s="22">
        <v>1</v>
      </c>
      <c r="E107" s="7" t="s">
        <v>15</v>
      </c>
      <c r="F107" s="7"/>
      <c r="G107" s="7"/>
      <c r="H107" s="33" t="s">
        <v>15</v>
      </c>
      <c r="I107" s="7"/>
      <c r="J107" s="42"/>
      <c r="K107" s="33"/>
      <c r="L107" s="7"/>
      <c r="M107" s="7"/>
      <c r="N107" s="7"/>
      <c r="O107" s="7"/>
      <c r="P107" s="7"/>
      <c r="Q107" s="7"/>
      <c r="R107" s="42"/>
      <c r="S107" s="33" t="s">
        <v>15</v>
      </c>
      <c r="T107" s="7"/>
      <c r="U107" s="7"/>
      <c r="V107" s="42"/>
      <c r="W107" s="11" t="s">
        <v>177</v>
      </c>
      <c r="X107" s="1"/>
      <c r="Y107" s="57">
        <f>22%*1.2*38%</f>
        <v>0.10032000000000001</v>
      </c>
      <c r="Z107" s="1"/>
      <c r="AA107" s="1"/>
      <c r="AB107" s="1"/>
      <c r="AC107" s="1"/>
      <c r="AD107" s="1"/>
      <c r="AE107" s="1"/>
      <c r="AF107" s="1"/>
      <c r="AG107" s="1"/>
    </row>
    <row r="108" spans="1:33" ht="15.75" customHeight="1">
      <c r="A108" s="9"/>
      <c r="B108" s="6" t="s">
        <v>178</v>
      </c>
      <c r="C108" s="6" t="s">
        <v>22</v>
      </c>
      <c r="D108" s="22">
        <v>1</v>
      </c>
      <c r="E108" s="7" t="s">
        <v>15</v>
      </c>
      <c r="F108" s="7"/>
      <c r="G108" s="7"/>
      <c r="H108" s="33" t="s">
        <v>15</v>
      </c>
      <c r="I108" s="7"/>
      <c r="J108" s="42"/>
      <c r="K108" s="33"/>
      <c r="L108" s="7"/>
      <c r="M108" s="7"/>
      <c r="N108" s="7"/>
      <c r="O108" s="7"/>
      <c r="P108" s="7"/>
      <c r="Q108" s="7"/>
      <c r="R108" s="42"/>
      <c r="S108" s="33" t="s">
        <v>15</v>
      </c>
      <c r="T108" s="7"/>
      <c r="U108" s="7"/>
      <c r="V108" s="42"/>
      <c r="W108" s="1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customHeight="1">
      <c r="A109" s="9"/>
      <c r="B109" s="6" t="s">
        <v>179</v>
      </c>
      <c r="C109" s="6" t="s">
        <v>13</v>
      </c>
      <c r="D109" s="22">
        <v>1</v>
      </c>
      <c r="E109" s="7" t="s">
        <v>15</v>
      </c>
      <c r="F109" s="7"/>
      <c r="G109" s="7"/>
      <c r="H109" s="33" t="s">
        <v>15</v>
      </c>
      <c r="I109" s="7"/>
      <c r="J109" s="42"/>
      <c r="K109" s="33"/>
      <c r="L109" s="7"/>
      <c r="M109" s="7"/>
      <c r="N109" s="7"/>
      <c r="O109" s="7"/>
      <c r="P109" s="7"/>
      <c r="Q109" s="7"/>
      <c r="R109" s="42"/>
      <c r="S109" s="33" t="s">
        <v>15</v>
      </c>
      <c r="T109" s="7"/>
      <c r="U109" s="7"/>
      <c r="V109" s="42"/>
      <c r="W109" s="8" t="s">
        <v>180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customHeight="1">
      <c r="A110" s="9"/>
      <c r="B110" s="6" t="s">
        <v>181</v>
      </c>
      <c r="C110" s="6" t="s">
        <v>27</v>
      </c>
      <c r="D110" s="22">
        <v>1</v>
      </c>
      <c r="E110" s="7" t="s">
        <v>15</v>
      </c>
      <c r="F110" s="7"/>
      <c r="G110" s="7"/>
      <c r="H110" s="33" t="s">
        <v>14</v>
      </c>
      <c r="I110" s="7"/>
      <c r="J110" s="42"/>
      <c r="K110" s="33"/>
      <c r="L110" s="7"/>
      <c r="M110" s="7"/>
      <c r="N110" s="7"/>
      <c r="O110" s="7"/>
      <c r="P110" s="7"/>
      <c r="Q110" s="7"/>
      <c r="R110" s="42"/>
      <c r="S110" s="33" t="s">
        <v>15</v>
      </c>
      <c r="T110" s="7"/>
      <c r="U110" s="7"/>
      <c r="V110" s="42"/>
      <c r="W110" s="8" t="s">
        <v>182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customHeight="1">
      <c r="A111" s="13"/>
      <c r="B111" s="122" t="s">
        <v>49</v>
      </c>
      <c r="C111" s="123"/>
      <c r="D111" s="124"/>
      <c r="E111" s="14">
        <f>COUNTIF(E81:E110,"○")+1</f>
        <v>15</v>
      </c>
      <c r="F111" s="14">
        <f>COUNTIF(F81:F110,"○")+1</f>
        <v>1</v>
      </c>
      <c r="G111" s="31"/>
      <c r="H111" s="34">
        <f t="shared" ref="H111:I111" si="4">COUNTIF(H81:H110,"○")</f>
        <v>2</v>
      </c>
      <c r="I111" s="31">
        <f t="shared" si="4"/>
        <v>0</v>
      </c>
      <c r="J111" s="46"/>
      <c r="K111" s="34"/>
      <c r="L111" s="31"/>
      <c r="M111" s="31"/>
      <c r="N111" s="31"/>
      <c r="O111" s="31"/>
      <c r="P111" s="31"/>
      <c r="Q111" s="31"/>
      <c r="R111" s="46"/>
      <c r="S111" s="67"/>
      <c r="T111" s="30"/>
      <c r="U111" s="31"/>
      <c r="V111" s="46"/>
      <c r="W111" s="69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>
      <c r="A112" s="136" t="s">
        <v>183</v>
      </c>
      <c r="B112" s="123"/>
      <c r="C112" s="123"/>
      <c r="D112" s="124"/>
      <c r="E112" s="40">
        <f t="shared" ref="E112:I112" si="5">SUM(E24, E47, E68, E80, E111)</f>
        <v>46</v>
      </c>
      <c r="F112" s="35">
        <f t="shared" si="5"/>
        <v>1</v>
      </c>
      <c r="G112" s="35"/>
      <c r="H112" s="47">
        <f t="shared" si="5"/>
        <v>9</v>
      </c>
      <c r="I112" s="48">
        <f t="shared" si="5"/>
        <v>0</v>
      </c>
      <c r="J112" s="66"/>
      <c r="K112" s="68"/>
      <c r="L112" s="35"/>
      <c r="M112" s="35"/>
      <c r="N112" s="35"/>
      <c r="O112" s="35"/>
      <c r="P112" s="35"/>
      <c r="Q112" s="35"/>
      <c r="R112" s="66"/>
      <c r="S112" s="73"/>
      <c r="T112" s="78"/>
      <c r="U112" s="35"/>
      <c r="V112" s="66"/>
      <c r="W112" s="72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customHeight="1">
      <c r="A113" s="1"/>
      <c r="B113" s="1"/>
      <c r="C113" s="1"/>
      <c r="D113" s="36"/>
      <c r="E113" s="36"/>
      <c r="F113" s="36"/>
      <c r="G113" s="36"/>
      <c r="H113" s="36"/>
      <c r="I113" s="36"/>
      <c r="J113" s="3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.75" customHeight="1">
      <c r="A114" s="1"/>
      <c r="C114" s="1" t="s">
        <v>13</v>
      </c>
      <c r="D114" s="36"/>
      <c r="E114" s="36">
        <f t="shared" ref="E114:J114" si="6">COUNTIFS($C$3:$C$110,$C114,E$3:E$110,"○")</f>
        <v>15</v>
      </c>
      <c r="F114" s="36">
        <f>COUNTIFS($C$3:$C$110,$C114,F$3:F$110,"○")</f>
        <v>0</v>
      </c>
      <c r="G114" s="36">
        <f t="shared" si="6"/>
        <v>0</v>
      </c>
      <c r="H114" s="36">
        <f t="shared" si="6"/>
        <v>3</v>
      </c>
      <c r="I114" s="36">
        <f t="shared" si="6"/>
        <v>0</v>
      </c>
      <c r="J114" s="36">
        <f t="shared" si="6"/>
        <v>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>
      <c r="A115" s="1"/>
      <c r="C115" s="1" t="s">
        <v>27</v>
      </c>
      <c r="D115" s="36"/>
      <c r="E115" s="36">
        <f>COUNTIFS($C$3:$C$110,$C115,E$3:E$110,"○")</f>
        <v>18</v>
      </c>
      <c r="F115" s="37">
        <f>COUNTIFS($C$3:$C$110,$C115,F$3:F$110,"○")+1</f>
        <v>1</v>
      </c>
      <c r="G115" s="41">
        <f t="shared" ref="G115:J116" si="7">COUNTIFS($C$3:$C$110,$C115,G$3:G$110,"○")</f>
        <v>0</v>
      </c>
      <c r="H115" s="36">
        <f t="shared" si="7"/>
        <v>4</v>
      </c>
      <c r="I115" s="36">
        <f t="shared" si="7"/>
        <v>0</v>
      </c>
      <c r="J115" s="36">
        <f t="shared" si="7"/>
        <v>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customHeight="1">
      <c r="A116" s="1"/>
      <c r="C116" s="1" t="s">
        <v>22</v>
      </c>
      <c r="D116" s="36"/>
      <c r="E116" s="64">
        <f>COUNTIFS($C$3:$C$110,$C116,E$3:E$110,"○")</f>
        <v>12</v>
      </c>
      <c r="F116" s="36">
        <f>COUNTIFS($C$3:$C$110,$C116,F$3:F$110,"○")</f>
        <v>0</v>
      </c>
      <c r="G116" s="36">
        <f t="shared" si="7"/>
        <v>0</v>
      </c>
      <c r="H116" s="36">
        <f t="shared" si="7"/>
        <v>2</v>
      </c>
      <c r="I116" s="36">
        <f t="shared" si="7"/>
        <v>0</v>
      </c>
      <c r="J116" s="36">
        <f t="shared" si="7"/>
        <v>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.75" customHeight="1">
      <c r="A117" s="1"/>
      <c r="B117" s="1"/>
      <c r="C117" s="1"/>
      <c r="D117" s="36"/>
      <c r="E117" s="36">
        <f t="shared" ref="E117:J117" si="8">SUM(E114:E116)</f>
        <v>45</v>
      </c>
      <c r="F117" s="36">
        <f t="shared" si="8"/>
        <v>1</v>
      </c>
      <c r="G117" s="36">
        <f t="shared" si="8"/>
        <v>0</v>
      </c>
      <c r="H117" s="36">
        <f t="shared" si="8"/>
        <v>9</v>
      </c>
      <c r="I117" s="36">
        <f t="shared" si="8"/>
        <v>0</v>
      </c>
      <c r="J117" s="36">
        <f t="shared" si="8"/>
        <v>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>
      <c r="A118" s="1"/>
      <c r="B118" s="1"/>
      <c r="C118" s="1"/>
      <c r="D118" s="36"/>
      <c r="E118" s="36"/>
      <c r="F118" s="36"/>
      <c r="G118" s="36"/>
      <c r="H118" s="36"/>
      <c r="I118" s="36"/>
      <c r="J118" s="3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.75" customHeight="1">
      <c r="A119" s="1"/>
      <c r="B119" s="1"/>
      <c r="C119" s="1"/>
      <c r="D119" s="36"/>
      <c r="E119" s="36"/>
      <c r="F119" s="36"/>
      <c r="G119" s="36"/>
      <c r="H119" s="36"/>
      <c r="I119" s="36"/>
      <c r="J119" s="3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>
      <c r="A120" s="1"/>
      <c r="B120" s="1"/>
      <c r="C120" s="1"/>
      <c r="D120" s="36"/>
      <c r="E120" s="36"/>
      <c r="F120" s="36"/>
      <c r="G120" s="36"/>
      <c r="H120" s="36"/>
      <c r="I120" s="36"/>
      <c r="J120" s="3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.75" customHeight="1">
      <c r="A121" s="1"/>
      <c r="B121" s="1"/>
      <c r="C121" s="1"/>
      <c r="D121" s="36"/>
      <c r="E121" s="36"/>
      <c r="F121" s="36"/>
      <c r="G121" s="36"/>
      <c r="H121" s="36"/>
      <c r="I121" s="36"/>
      <c r="J121" s="3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customHeight="1">
      <c r="A122" s="1"/>
      <c r="B122" s="1"/>
      <c r="C122" s="1"/>
      <c r="D122" s="36"/>
      <c r="E122" s="36"/>
      <c r="F122" s="36"/>
      <c r="G122" s="36"/>
      <c r="H122" s="36"/>
      <c r="I122" s="36"/>
      <c r="J122" s="3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customHeight="1">
      <c r="A123" s="1"/>
      <c r="B123" s="1"/>
      <c r="C123" s="1"/>
      <c r="D123" s="36"/>
      <c r="E123" s="36"/>
      <c r="F123" s="36"/>
      <c r="G123" s="36"/>
      <c r="H123" s="36"/>
      <c r="I123" s="36"/>
      <c r="J123" s="3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customHeight="1">
      <c r="A124" s="1"/>
      <c r="B124" s="1"/>
      <c r="C124" s="1"/>
      <c r="D124" s="36"/>
      <c r="E124" s="36"/>
      <c r="F124" s="36"/>
      <c r="G124" s="36"/>
      <c r="H124" s="36"/>
      <c r="I124" s="36"/>
      <c r="J124" s="3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customHeight="1">
      <c r="A125" s="1"/>
      <c r="B125" s="1"/>
      <c r="C125" s="1"/>
      <c r="D125" s="36"/>
      <c r="E125" s="36"/>
      <c r="F125" s="36"/>
      <c r="G125" s="36"/>
      <c r="H125" s="36"/>
      <c r="I125" s="36"/>
      <c r="J125" s="3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.75" customHeight="1">
      <c r="A126" s="1"/>
      <c r="B126" s="1"/>
      <c r="C126" s="1"/>
      <c r="D126" s="36"/>
      <c r="E126" s="36"/>
      <c r="F126" s="36"/>
      <c r="G126" s="36"/>
      <c r="H126" s="36"/>
      <c r="I126" s="36"/>
      <c r="J126" s="3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>
      <c r="A127" s="1"/>
      <c r="B127" s="1"/>
      <c r="C127" s="1"/>
      <c r="D127" s="36"/>
      <c r="E127" s="36"/>
      <c r="F127" s="36"/>
      <c r="G127" s="36"/>
      <c r="H127" s="36"/>
      <c r="I127" s="36"/>
      <c r="J127" s="3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.75" customHeight="1">
      <c r="A128" s="1"/>
      <c r="B128" s="1"/>
      <c r="C128" s="1"/>
      <c r="D128" s="36"/>
      <c r="E128" s="36"/>
      <c r="F128" s="36"/>
      <c r="G128" s="36"/>
      <c r="H128" s="36"/>
      <c r="I128" s="36"/>
      <c r="J128" s="3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customHeight="1">
      <c r="A129" s="1"/>
      <c r="B129" s="1"/>
      <c r="C129" s="1"/>
      <c r="D129" s="36"/>
      <c r="E129" s="36"/>
      <c r="F129" s="36"/>
      <c r="G129" s="36"/>
      <c r="H129" s="36"/>
      <c r="I129" s="36"/>
      <c r="J129" s="3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customHeight="1">
      <c r="A130" s="1"/>
      <c r="B130" s="1"/>
      <c r="C130" s="1"/>
      <c r="D130" s="36"/>
      <c r="E130" s="36"/>
      <c r="F130" s="36"/>
      <c r="G130" s="36"/>
      <c r="H130" s="36"/>
      <c r="I130" s="36"/>
      <c r="J130" s="3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customHeight="1">
      <c r="A131" s="1"/>
      <c r="B131" s="1"/>
      <c r="C131" s="1"/>
      <c r="D131" s="36"/>
      <c r="E131" s="36"/>
      <c r="F131" s="36"/>
      <c r="G131" s="36"/>
      <c r="H131" s="36"/>
      <c r="I131" s="36"/>
      <c r="J131" s="3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>
      <c r="A132" s="1"/>
      <c r="B132" s="1"/>
      <c r="C132" s="1"/>
      <c r="D132" s="36"/>
      <c r="E132" s="36"/>
      <c r="F132" s="36"/>
      <c r="G132" s="36"/>
      <c r="H132" s="36"/>
      <c r="I132" s="36"/>
      <c r="J132" s="3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customHeight="1">
      <c r="A133" s="1"/>
      <c r="B133" s="1"/>
      <c r="C133" s="1"/>
      <c r="D133" s="36"/>
      <c r="E133" s="36"/>
      <c r="F133" s="36"/>
      <c r="G133" s="36"/>
      <c r="H133" s="36"/>
      <c r="I133" s="36"/>
      <c r="J133" s="3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>
      <c r="A134" s="1"/>
      <c r="B134" s="1"/>
      <c r="C134" s="1"/>
      <c r="D134" s="36"/>
      <c r="E134" s="36"/>
      <c r="F134" s="36"/>
      <c r="G134" s="36"/>
      <c r="H134" s="36"/>
      <c r="I134" s="36"/>
      <c r="J134" s="3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customHeight="1">
      <c r="A135" s="1"/>
      <c r="B135" s="1"/>
      <c r="C135" s="1"/>
      <c r="D135" s="36"/>
      <c r="E135" s="36"/>
      <c r="F135" s="36"/>
      <c r="G135" s="36"/>
      <c r="H135" s="36"/>
      <c r="I135" s="36"/>
      <c r="J135" s="3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customHeight="1">
      <c r="A136" s="1"/>
      <c r="B136" s="1"/>
      <c r="C136" s="1"/>
      <c r="D136" s="36"/>
      <c r="E136" s="36"/>
      <c r="F136" s="36"/>
      <c r="G136" s="36"/>
      <c r="H136" s="36"/>
      <c r="I136" s="36"/>
      <c r="J136" s="3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customHeight="1">
      <c r="A137" s="1"/>
      <c r="B137" s="1"/>
      <c r="C137" s="1"/>
      <c r="D137" s="36"/>
      <c r="E137" s="36"/>
      <c r="F137" s="36"/>
      <c r="G137" s="36"/>
      <c r="H137" s="36"/>
      <c r="I137" s="36"/>
      <c r="J137" s="3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customHeight="1">
      <c r="A138" s="1"/>
      <c r="B138" s="1"/>
      <c r="C138" s="1"/>
      <c r="D138" s="36"/>
      <c r="E138" s="36"/>
      <c r="F138" s="36"/>
      <c r="G138" s="36"/>
      <c r="H138" s="36"/>
      <c r="I138" s="36"/>
      <c r="J138" s="3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customHeight="1">
      <c r="A139" s="1"/>
      <c r="B139" s="1"/>
      <c r="C139" s="1"/>
      <c r="D139" s="36"/>
      <c r="E139" s="36"/>
      <c r="F139" s="36"/>
      <c r="G139" s="36"/>
      <c r="H139" s="36"/>
      <c r="I139" s="36"/>
      <c r="J139" s="3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customHeight="1">
      <c r="A140" s="1"/>
      <c r="B140" s="1"/>
      <c r="C140" s="1"/>
      <c r="D140" s="36"/>
      <c r="E140" s="36"/>
      <c r="F140" s="36"/>
      <c r="G140" s="36"/>
      <c r="H140" s="36"/>
      <c r="I140" s="36"/>
      <c r="J140" s="3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customHeight="1">
      <c r="A141" s="1"/>
      <c r="B141" s="1"/>
      <c r="C141" s="1"/>
      <c r="D141" s="36"/>
      <c r="E141" s="36"/>
      <c r="F141" s="36"/>
      <c r="G141" s="36"/>
      <c r="H141" s="36"/>
      <c r="I141" s="36"/>
      <c r="J141" s="3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customHeight="1">
      <c r="A142" s="1"/>
      <c r="B142" s="1"/>
      <c r="C142" s="1"/>
      <c r="D142" s="36"/>
      <c r="E142" s="36"/>
      <c r="F142" s="36"/>
      <c r="G142" s="36"/>
      <c r="H142" s="36"/>
      <c r="I142" s="36"/>
      <c r="J142" s="3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>
      <c r="A143" s="1"/>
      <c r="B143" s="1"/>
      <c r="C143" s="1"/>
      <c r="D143" s="36"/>
      <c r="E143" s="36"/>
      <c r="F143" s="36"/>
      <c r="G143" s="36"/>
      <c r="H143" s="36"/>
      <c r="I143" s="36"/>
      <c r="J143" s="3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customHeight="1">
      <c r="A144" s="1"/>
      <c r="B144" s="1"/>
      <c r="C144" s="1"/>
      <c r="D144" s="36"/>
      <c r="E144" s="36"/>
      <c r="F144" s="36"/>
      <c r="G144" s="36"/>
      <c r="H144" s="36"/>
      <c r="I144" s="36"/>
      <c r="J144" s="3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customHeight="1">
      <c r="A145" s="1"/>
      <c r="B145" s="1"/>
      <c r="C145" s="1"/>
      <c r="D145" s="36"/>
      <c r="E145" s="36"/>
      <c r="F145" s="36"/>
      <c r="G145" s="36"/>
      <c r="H145" s="36"/>
      <c r="I145" s="36"/>
      <c r="J145" s="3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customHeight="1">
      <c r="A146" s="1"/>
      <c r="B146" s="1"/>
      <c r="C146" s="1"/>
      <c r="D146" s="36"/>
      <c r="E146" s="36"/>
      <c r="F146" s="36"/>
      <c r="G146" s="36"/>
      <c r="H146" s="36"/>
      <c r="I146" s="36"/>
      <c r="J146" s="3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customHeight="1">
      <c r="A147" s="1"/>
      <c r="B147" s="1"/>
      <c r="C147" s="1"/>
      <c r="D147" s="36"/>
      <c r="E147" s="36"/>
      <c r="F147" s="36"/>
      <c r="G147" s="36"/>
      <c r="H147" s="36"/>
      <c r="I147" s="36"/>
      <c r="J147" s="3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customHeight="1">
      <c r="A148" s="1"/>
      <c r="B148" s="1"/>
      <c r="C148" s="1"/>
      <c r="D148" s="36"/>
      <c r="E148" s="36"/>
      <c r="F148" s="36"/>
      <c r="G148" s="36"/>
      <c r="H148" s="36"/>
      <c r="I148" s="36"/>
      <c r="J148" s="3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customHeight="1">
      <c r="A149" s="1"/>
      <c r="B149" s="1"/>
      <c r="C149" s="1"/>
      <c r="D149" s="36"/>
      <c r="E149" s="36"/>
      <c r="F149" s="36"/>
      <c r="G149" s="36"/>
      <c r="H149" s="36"/>
      <c r="I149" s="36"/>
      <c r="J149" s="3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customHeight="1">
      <c r="A150" s="1"/>
      <c r="B150" s="1"/>
      <c r="C150" s="1"/>
      <c r="D150" s="36"/>
      <c r="E150" s="36"/>
      <c r="F150" s="36"/>
      <c r="G150" s="36"/>
      <c r="H150" s="36"/>
      <c r="I150" s="36"/>
      <c r="J150" s="3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customHeight="1">
      <c r="A151" s="1"/>
      <c r="B151" s="1"/>
      <c r="C151" s="1"/>
      <c r="D151" s="36"/>
      <c r="E151" s="36"/>
      <c r="F151" s="36"/>
      <c r="G151" s="36"/>
      <c r="H151" s="36"/>
      <c r="I151" s="36"/>
      <c r="J151" s="3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>
      <c r="A152" s="1"/>
      <c r="B152" s="1"/>
      <c r="C152" s="1"/>
      <c r="D152" s="36"/>
      <c r="E152" s="36"/>
      <c r="F152" s="36"/>
      <c r="G152" s="36"/>
      <c r="H152" s="36"/>
      <c r="I152" s="36"/>
      <c r="J152" s="3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customHeight="1">
      <c r="A153" s="1"/>
      <c r="B153" s="1"/>
      <c r="C153" s="1"/>
      <c r="D153" s="36"/>
      <c r="E153" s="36"/>
      <c r="F153" s="36"/>
      <c r="G153" s="36"/>
      <c r="H153" s="36"/>
      <c r="I153" s="36"/>
      <c r="J153" s="3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customHeight="1">
      <c r="A154" s="1"/>
      <c r="B154" s="1"/>
      <c r="C154" s="1"/>
      <c r="D154" s="36"/>
      <c r="E154" s="36"/>
      <c r="F154" s="36"/>
      <c r="G154" s="36"/>
      <c r="H154" s="36"/>
      <c r="I154" s="36"/>
      <c r="J154" s="3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customHeight="1">
      <c r="A155" s="1"/>
      <c r="B155" s="1"/>
      <c r="C155" s="1"/>
      <c r="D155" s="36"/>
      <c r="E155" s="36"/>
      <c r="F155" s="36"/>
      <c r="G155" s="36"/>
      <c r="H155" s="36"/>
      <c r="I155" s="36"/>
      <c r="J155" s="3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customHeight="1">
      <c r="A156" s="1"/>
      <c r="B156" s="1"/>
      <c r="C156" s="1"/>
      <c r="D156" s="36"/>
      <c r="E156" s="36"/>
      <c r="F156" s="36"/>
      <c r="G156" s="36"/>
      <c r="H156" s="36"/>
      <c r="I156" s="36"/>
      <c r="J156" s="3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>
      <c r="A157" s="1"/>
      <c r="B157" s="1"/>
      <c r="C157" s="1"/>
      <c r="D157" s="36"/>
      <c r="E157" s="36"/>
      <c r="F157" s="36"/>
      <c r="G157" s="36"/>
      <c r="H157" s="36"/>
      <c r="I157" s="36"/>
      <c r="J157" s="3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customHeight="1">
      <c r="A158" s="1"/>
      <c r="B158" s="1"/>
      <c r="C158" s="1"/>
      <c r="D158" s="36"/>
      <c r="E158" s="36"/>
      <c r="F158" s="36"/>
      <c r="G158" s="36"/>
      <c r="H158" s="36"/>
      <c r="I158" s="36"/>
      <c r="J158" s="3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.75" customHeight="1">
      <c r="A159" s="1"/>
      <c r="B159" s="1"/>
      <c r="C159" s="1"/>
      <c r="D159" s="36"/>
      <c r="E159" s="36"/>
      <c r="F159" s="36"/>
      <c r="G159" s="36"/>
      <c r="H159" s="36"/>
      <c r="I159" s="36"/>
      <c r="J159" s="3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>
      <c r="A160" s="1"/>
      <c r="B160" s="1"/>
      <c r="C160" s="1"/>
      <c r="D160" s="36"/>
      <c r="E160" s="36"/>
      <c r="F160" s="36"/>
      <c r="G160" s="36"/>
      <c r="H160" s="36"/>
      <c r="I160" s="36"/>
      <c r="J160" s="3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customHeight="1">
      <c r="A161" s="1"/>
      <c r="B161" s="1"/>
      <c r="C161" s="1"/>
      <c r="D161" s="36"/>
      <c r="E161" s="36"/>
      <c r="F161" s="36"/>
      <c r="G161" s="36"/>
      <c r="H161" s="36"/>
      <c r="I161" s="36"/>
      <c r="J161" s="3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.75" customHeight="1">
      <c r="A162" s="1"/>
      <c r="B162" s="1"/>
      <c r="C162" s="1"/>
      <c r="D162" s="36"/>
      <c r="E162" s="36"/>
      <c r="F162" s="36"/>
      <c r="G162" s="36"/>
      <c r="H162" s="36"/>
      <c r="I162" s="36"/>
      <c r="J162" s="3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>
      <c r="A163" s="1"/>
      <c r="B163" s="1"/>
      <c r="C163" s="1"/>
      <c r="D163" s="36"/>
      <c r="E163" s="36"/>
      <c r="F163" s="36"/>
      <c r="G163" s="36"/>
      <c r="H163" s="36"/>
      <c r="I163" s="36"/>
      <c r="J163" s="3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>
      <c r="A164" s="1"/>
      <c r="B164" s="1"/>
      <c r="C164" s="1"/>
      <c r="D164" s="36"/>
      <c r="E164" s="36"/>
      <c r="F164" s="36"/>
      <c r="G164" s="36"/>
      <c r="H164" s="36"/>
      <c r="I164" s="36"/>
      <c r="J164" s="3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customHeight="1">
      <c r="A165" s="1"/>
      <c r="B165" s="1"/>
      <c r="C165" s="1"/>
      <c r="D165" s="36"/>
      <c r="E165" s="36"/>
      <c r="F165" s="36"/>
      <c r="G165" s="36"/>
      <c r="H165" s="36"/>
      <c r="I165" s="36"/>
      <c r="J165" s="3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customHeight="1">
      <c r="A166" s="1"/>
      <c r="B166" s="1"/>
      <c r="C166" s="1"/>
      <c r="D166" s="36"/>
      <c r="E166" s="36"/>
      <c r="F166" s="36"/>
      <c r="G166" s="36"/>
      <c r="H166" s="36"/>
      <c r="I166" s="36"/>
      <c r="J166" s="3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customHeight="1">
      <c r="A167" s="1"/>
      <c r="B167" s="1"/>
      <c r="C167" s="1"/>
      <c r="D167" s="36"/>
      <c r="E167" s="36"/>
      <c r="F167" s="36"/>
      <c r="G167" s="36"/>
      <c r="H167" s="36"/>
      <c r="I167" s="36"/>
      <c r="J167" s="3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customHeight="1">
      <c r="A168" s="1"/>
      <c r="B168" s="1"/>
      <c r="C168" s="1"/>
      <c r="D168" s="36"/>
      <c r="E168" s="36"/>
      <c r="F168" s="36"/>
      <c r="G168" s="36"/>
      <c r="H168" s="36"/>
      <c r="I168" s="36"/>
      <c r="J168" s="3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customHeight="1">
      <c r="A169" s="1"/>
      <c r="B169" s="1"/>
      <c r="C169" s="1"/>
      <c r="D169" s="36"/>
      <c r="E169" s="36"/>
      <c r="F169" s="36"/>
      <c r="G169" s="36"/>
      <c r="H169" s="36"/>
      <c r="I169" s="36"/>
      <c r="J169" s="3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customHeight="1">
      <c r="A170" s="1"/>
      <c r="B170" s="1"/>
      <c r="C170" s="1"/>
      <c r="D170" s="36"/>
      <c r="E170" s="36"/>
      <c r="F170" s="36"/>
      <c r="G170" s="36"/>
      <c r="H170" s="36"/>
      <c r="I170" s="36"/>
      <c r="J170" s="3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customHeight="1">
      <c r="A171" s="1"/>
      <c r="B171" s="1"/>
      <c r="C171" s="1"/>
      <c r="D171" s="36"/>
      <c r="E171" s="36"/>
      <c r="F171" s="36"/>
      <c r="G171" s="36"/>
      <c r="H171" s="36"/>
      <c r="I171" s="36"/>
      <c r="J171" s="3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customHeight="1">
      <c r="A172" s="1"/>
      <c r="B172" s="1"/>
      <c r="C172" s="1"/>
      <c r="D172" s="36"/>
      <c r="E172" s="36"/>
      <c r="F172" s="36"/>
      <c r="G172" s="36"/>
      <c r="H172" s="36"/>
      <c r="I172" s="36"/>
      <c r="J172" s="3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customHeight="1">
      <c r="A173" s="1"/>
      <c r="B173" s="1"/>
      <c r="C173" s="1"/>
      <c r="D173" s="36"/>
      <c r="E173" s="36"/>
      <c r="F173" s="36"/>
      <c r="G173" s="36"/>
      <c r="H173" s="36"/>
      <c r="I173" s="36"/>
      <c r="J173" s="3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customHeight="1">
      <c r="A174" s="1"/>
      <c r="B174" s="1"/>
      <c r="C174" s="1"/>
      <c r="D174" s="36"/>
      <c r="E174" s="36"/>
      <c r="F174" s="36"/>
      <c r="G174" s="36"/>
      <c r="H174" s="36"/>
      <c r="I174" s="36"/>
      <c r="J174" s="3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customHeight="1">
      <c r="A175" s="1"/>
      <c r="B175" s="1"/>
      <c r="C175" s="1"/>
      <c r="D175" s="36"/>
      <c r="E175" s="36"/>
      <c r="F175" s="36"/>
      <c r="G175" s="36"/>
      <c r="H175" s="36"/>
      <c r="I175" s="36"/>
      <c r="J175" s="3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customHeight="1">
      <c r="A176" s="1"/>
      <c r="B176" s="1"/>
      <c r="C176" s="1"/>
      <c r="D176" s="36"/>
      <c r="E176" s="36"/>
      <c r="F176" s="36"/>
      <c r="G176" s="36"/>
      <c r="H176" s="36"/>
      <c r="I176" s="36"/>
      <c r="J176" s="3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customHeight="1">
      <c r="A177" s="1"/>
      <c r="B177" s="1"/>
      <c r="C177" s="1"/>
      <c r="D177" s="36"/>
      <c r="E177" s="36"/>
      <c r="F177" s="36"/>
      <c r="G177" s="36"/>
      <c r="H177" s="36"/>
      <c r="I177" s="36"/>
      <c r="J177" s="3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customHeight="1">
      <c r="A178" s="1"/>
      <c r="B178" s="1"/>
      <c r="C178" s="1"/>
      <c r="D178" s="36"/>
      <c r="E178" s="36"/>
      <c r="F178" s="36"/>
      <c r="G178" s="36"/>
      <c r="H178" s="36"/>
      <c r="I178" s="36"/>
      <c r="J178" s="3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>
      <c r="A179" s="1"/>
      <c r="B179" s="1"/>
      <c r="C179" s="1"/>
      <c r="D179" s="36"/>
      <c r="E179" s="36"/>
      <c r="F179" s="36"/>
      <c r="G179" s="36"/>
      <c r="H179" s="36"/>
      <c r="I179" s="36"/>
      <c r="J179" s="3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customHeight="1">
      <c r="A180" s="1"/>
      <c r="B180" s="1"/>
      <c r="C180" s="1"/>
      <c r="D180" s="36"/>
      <c r="E180" s="36"/>
      <c r="F180" s="36"/>
      <c r="G180" s="36"/>
      <c r="H180" s="36"/>
      <c r="I180" s="36"/>
      <c r="J180" s="3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customHeight="1">
      <c r="A181" s="1"/>
      <c r="B181" s="1"/>
      <c r="C181" s="1"/>
      <c r="D181" s="36"/>
      <c r="E181" s="36"/>
      <c r="F181" s="36"/>
      <c r="G181" s="36"/>
      <c r="H181" s="36"/>
      <c r="I181" s="36"/>
      <c r="J181" s="3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customHeight="1">
      <c r="A182" s="1"/>
      <c r="B182" s="1"/>
      <c r="C182" s="1"/>
      <c r="D182" s="36"/>
      <c r="E182" s="36"/>
      <c r="F182" s="36"/>
      <c r="G182" s="36"/>
      <c r="H182" s="36"/>
      <c r="I182" s="36"/>
      <c r="J182" s="3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customHeight="1">
      <c r="A183" s="1"/>
      <c r="B183" s="1"/>
      <c r="C183" s="1"/>
      <c r="D183" s="36"/>
      <c r="E183" s="36"/>
      <c r="F183" s="36"/>
      <c r="G183" s="36"/>
      <c r="H183" s="36"/>
      <c r="I183" s="36"/>
      <c r="J183" s="3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customHeight="1">
      <c r="A184" s="1"/>
      <c r="B184" s="1"/>
      <c r="C184" s="1"/>
      <c r="D184" s="36"/>
      <c r="E184" s="36"/>
      <c r="F184" s="36"/>
      <c r="G184" s="36"/>
      <c r="H184" s="36"/>
      <c r="I184" s="36"/>
      <c r="J184" s="3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customHeight="1">
      <c r="A185" s="1"/>
      <c r="B185" s="1"/>
      <c r="C185" s="1"/>
      <c r="D185" s="36"/>
      <c r="E185" s="36"/>
      <c r="F185" s="36"/>
      <c r="G185" s="36"/>
      <c r="H185" s="36"/>
      <c r="I185" s="36"/>
      <c r="J185" s="3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>
      <c r="A186" s="1"/>
      <c r="B186" s="1"/>
      <c r="C186" s="1"/>
      <c r="D186" s="36"/>
      <c r="E186" s="36"/>
      <c r="F186" s="36"/>
      <c r="G186" s="36"/>
      <c r="H186" s="36"/>
      <c r="I186" s="36"/>
      <c r="J186" s="3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.75" customHeight="1">
      <c r="A187" s="1"/>
      <c r="B187" s="1"/>
      <c r="C187" s="1"/>
      <c r="D187" s="36"/>
      <c r="E187" s="36"/>
      <c r="F187" s="36"/>
      <c r="G187" s="36"/>
      <c r="H187" s="36"/>
      <c r="I187" s="36"/>
      <c r="J187" s="3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.75" customHeight="1">
      <c r="A188" s="1"/>
      <c r="B188" s="1"/>
      <c r="C188" s="1"/>
      <c r="D188" s="36"/>
      <c r="E188" s="36"/>
      <c r="F188" s="36"/>
      <c r="G188" s="36"/>
      <c r="H188" s="36"/>
      <c r="I188" s="36"/>
      <c r="J188" s="3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.75" customHeight="1">
      <c r="A189" s="1"/>
      <c r="B189" s="1"/>
      <c r="C189" s="1"/>
      <c r="D189" s="36"/>
      <c r="E189" s="36"/>
      <c r="F189" s="36"/>
      <c r="G189" s="36"/>
      <c r="H189" s="36"/>
      <c r="I189" s="36"/>
      <c r="J189" s="3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.75" customHeight="1">
      <c r="A190" s="1"/>
      <c r="B190" s="1"/>
      <c r="C190" s="1"/>
      <c r="D190" s="36"/>
      <c r="E190" s="36"/>
      <c r="F190" s="36"/>
      <c r="G190" s="36"/>
      <c r="H190" s="36"/>
      <c r="I190" s="36"/>
      <c r="J190" s="3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.75" customHeight="1">
      <c r="A191" s="1"/>
      <c r="B191" s="1"/>
      <c r="C191" s="1"/>
      <c r="D191" s="36"/>
      <c r="E191" s="36"/>
      <c r="F191" s="36"/>
      <c r="G191" s="36"/>
      <c r="H191" s="36"/>
      <c r="I191" s="36"/>
      <c r="J191" s="3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.75" customHeight="1">
      <c r="A192" s="1"/>
      <c r="B192" s="1"/>
      <c r="C192" s="1"/>
      <c r="D192" s="36"/>
      <c r="E192" s="36"/>
      <c r="F192" s="36"/>
      <c r="G192" s="36"/>
      <c r="H192" s="36"/>
      <c r="I192" s="36"/>
      <c r="J192" s="3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customHeight="1">
      <c r="A193" s="1"/>
      <c r="B193" s="1"/>
      <c r="C193" s="1"/>
      <c r="D193" s="36"/>
      <c r="E193" s="36"/>
      <c r="F193" s="36"/>
      <c r="G193" s="36"/>
      <c r="H193" s="36"/>
      <c r="I193" s="36"/>
      <c r="J193" s="3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.75" customHeight="1">
      <c r="A194" s="1"/>
      <c r="B194" s="1"/>
      <c r="C194" s="1"/>
      <c r="D194" s="36"/>
      <c r="E194" s="36"/>
      <c r="F194" s="36"/>
      <c r="G194" s="36"/>
      <c r="H194" s="36"/>
      <c r="I194" s="36"/>
      <c r="J194" s="3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.75" customHeight="1">
      <c r="A195" s="1"/>
      <c r="B195" s="1"/>
      <c r="C195" s="1"/>
      <c r="D195" s="36"/>
      <c r="E195" s="36"/>
      <c r="F195" s="36"/>
      <c r="G195" s="36"/>
      <c r="H195" s="36"/>
      <c r="I195" s="36"/>
      <c r="J195" s="3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.75" customHeight="1">
      <c r="A196" s="1"/>
      <c r="B196" s="1"/>
      <c r="C196" s="1"/>
      <c r="D196" s="36"/>
      <c r="E196" s="36"/>
      <c r="F196" s="36"/>
      <c r="G196" s="36"/>
      <c r="H196" s="36"/>
      <c r="I196" s="36"/>
      <c r="J196" s="3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.75" customHeight="1">
      <c r="A197" s="1"/>
      <c r="B197" s="1"/>
      <c r="C197" s="1"/>
      <c r="D197" s="36"/>
      <c r="E197" s="36"/>
      <c r="F197" s="36"/>
      <c r="G197" s="36"/>
      <c r="H197" s="36"/>
      <c r="I197" s="36"/>
      <c r="J197" s="3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customHeight="1">
      <c r="A198" s="1"/>
      <c r="B198" s="1"/>
      <c r="C198" s="1"/>
      <c r="D198" s="36"/>
      <c r="E198" s="36"/>
      <c r="F198" s="36"/>
      <c r="G198" s="36"/>
      <c r="H198" s="36"/>
      <c r="I198" s="36"/>
      <c r="J198" s="3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.75" customHeight="1">
      <c r="A199" s="1"/>
      <c r="B199" s="1"/>
      <c r="C199" s="1"/>
      <c r="D199" s="36"/>
      <c r="E199" s="36"/>
      <c r="F199" s="36"/>
      <c r="G199" s="36"/>
      <c r="H199" s="36"/>
      <c r="I199" s="36"/>
      <c r="J199" s="3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.75" customHeight="1">
      <c r="A200" s="1"/>
      <c r="B200" s="1"/>
      <c r="C200" s="1"/>
      <c r="D200" s="36"/>
      <c r="E200" s="36"/>
      <c r="F200" s="36"/>
      <c r="G200" s="36"/>
      <c r="H200" s="36"/>
      <c r="I200" s="36"/>
      <c r="J200" s="3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.75" customHeight="1">
      <c r="A201" s="1"/>
      <c r="B201" s="1"/>
      <c r="C201" s="1"/>
      <c r="D201" s="36"/>
      <c r="E201" s="36"/>
      <c r="F201" s="36"/>
      <c r="G201" s="36"/>
      <c r="H201" s="36"/>
      <c r="I201" s="36"/>
      <c r="J201" s="3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.75" customHeight="1">
      <c r="A202" s="1"/>
      <c r="B202" s="1"/>
      <c r="C202" s="1"/>
      <c r="D202" s="36"/>
      <c r="E202" s="36"/>
      <c r="F202" s="36"/>
      <c r="G202" s="36"/>
      <c r="H202" s="36"/>
      <c r="I202" s="36"/>
      <c r="J202" s="3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.75" customHeight="1">
      <c r="A203" s="1"/>
      <c r="B203" s="1"/>
      <c r="C203" s="1"/>
      <c r="D203" s="36"/>
      <c r="E203" s="36"/>
      <c r="F203" s="36"/>
      <c r="G203" s="36"/>
      <c r="H203" s="36"/>
      <c r="I203" s="36"/>
      <c r="J203" s="3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.75" customHeight="1">
      <c r="A204" s="1"/>
      <c r="B204" s="1"/>
      <c r="C204" s="1"/>
      <c r="D204" s="36"/>
      <c r="E204" s="36"/>
      <c r="F204" s="36"/>
      <c r="G204" s="36"/>
      <c r="H204" s="36"/>
      <c r="I204" s="36"/>
      <c r="J204" s="3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.75" customHeight="1">
      <c r="A205" s="1"/>
      <c r="B205" s="1"/>
      <c r="C205" s="1"/>
      <c r="D205" s="36"/>
      <c r="E205" s="36"/>
      <c r="F205" s="36"/>
      <c r="G205" s="36"/>
      <c r="H205" s="36"/>
      <c r="I205" s="36"/>
      <c r="J205" s="3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.75" customHeight="1">
      <c r="A206" s="1"/>
      <c r="B206" s="1"/>
      <c r="C206" s="1"/>
      <c r="D206" s="36"/>
      <c r="E206" s="36"/>
      <c r="F206" s="36"/>
      <c r="G206" s="36"/>
      <c r="H206" s="36"/>
      <c r="I206" s="36"/>
      <c r="J206" s="3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.75" customHeight="1">
      <c r="A207" s="1"/>
      <c r="B207" s="1"/>
      <c r="C207" s="1"/>
      <c r="D207" s="36"/>
      <c r="E207" s="36"/>
      <c r="F207" s="36"/>
      <c r="G207" s="36"/>
      <c r="H207" s="36"/>
      <c r="I207" s="36"/>
      <c r="J207" s="3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customHeight="1">
      <c r="A208" s="1"/>
      <c r="B208" s="1"/>
      <c r="C208" s="1"/>
      <c r="D208" s="36"/>
      <c r="E208" s="36"/>
      <c r="F208" s="36"/>
      <c r="G208" s="36"/>
      <c r="H208" s="36"/>
      <c r="I208" s="36"/>
      <c r="J208" s="3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.75" customHeight="1">
      <c r="A209" s="1"/>
      <c r="B209" s="1"/>
      <c r="C209" s="1"/>
      <c r="D209" s="36"/>
      <c r="E209" s="36"/>
      <c r="F209" s="36"/>
      <c r="G209" s="36"/>
      <c r="H209" s="36"/>
      <c r="I209" s="36"/>
      <c r="J209" s="3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.75" customHeight="1">
      <c r="A210" s="1"/>
      <c r="B210" s="1"/>
      <c r="C210" s="1"/>
      <c r="D210" s="36"/>
      <c r="E210" s="36"/>
      <c r="F210" s="36"/>
      <c r="G210" s="36"/>
      <c r="H210" s="36"/>
      <c r="I210" s="36"/>
      <c r="J210" s="3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.75" customHeight="1">
      <c r="A211" s="1"/>
      <c r="B211" s="1"/>
      <c r="C211" s="1"/>
      <c r="D211" s="36"/>
      <c r="E211" s="36"/>
      <c r="F211" s="36"/>
      <c r="G211" s="36"/>
      <c r="H211" s="36"/>
      <c r="I211" s="36"/>
      <c r="J211" s="3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.75" customHeight="1">
      <c r="A212" s="1"/>
      <c r="B212" s="1"/>
      <c r="C212" s="1"/>
      <c r="D212" s="36"/>
      <c r="E212" s="36"/>
      <c r="F212" s="36"/>
      <c r="G212" s="36"/>
      <c r="H212" s="36"/>
      <c r="I212" s="36"/>
      <c r="J212" s="3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.75" customHeight="1">
      <c r="A213" s="1"/>
      <c r="B213" s="1"/>
      <c r="C213" s="1"/>
      <c r="D213" s="36"/>
      <c r="E213" s="36"/>
      <c r="F213" s="36"/>
      <c r="G213" s="36"/>
      <c r="H213" s="36"/>
      <c r="I213" s="36"/>
      <c r="J213" s="3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.75" customHeight="1">
      <c r="A214" s="1"/>
      <c r="B214" s="1"/>
      <c r="C214" s="1"/>
      <c r="D214" s="36"/>
      <c r="E214" s="36"/>
      <c r="F214" s="36"/>
      <c r="G214" s="36"/>
      <c r="H214" s="36"/>
      <c r="I214" s="36"/>
      <c r="J214" s="3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.75" customHeight="1">
      <c r="A215" s="1"/>
      <c r="B215" s="1"/>
      <c r="C215" s="1"/>
      <c r="D215" s="36"/>
      <c r="E215" s="36"/>
      <c r="F215" s="36"/>
      <c r="G215" s="36"/>
      <c r="H215" s="36"/>
      <c r="I215" s="36"/>
      <c r="J215" s="3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.75" customHeight="1">
      <c r="A216" s="1"/>
      <c r="B216" s="1"/>
      <c r="C216" s="1"/>
      <c r="D216" s="36"/>
      <c r="E216" s="36"/>
      <c r="F216" s="36"/>
      <c r="G216" s="36"/>
      <c r="H216" s="36"/>
      <c r="I216" s="36"/>
      <c r="J216" s="3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.75" customHeight="1">
      <c r="A217" s="1"/>
      <c r="B217" s="1"/>
      <c r="C217" s="1"/>
      <c r="D217" s="36"/>
      <c r="E217" s="36"/>
      <c r="F217" s="36"/>
      <c r="G217" s="36"/>
      <c r="H217" s="36"/>
      <c r="I217" s="36"/>
      <c r="J217" s="3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.75" customHeight="1">
      <c r="A218" s="1"/>
      <c r="B218" s="1"/>
      <c r="C218" s="1"/>
      <c r="D218" s="36"/>
      <c r="E218" s="36"/>
      <c r="F218" s="36"/>
      <c r="G218" s="36"/>
      <c r="H218" s="36"/>
      <c r="I218" s="36"/>
      <c r="J218" s="3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.75" customHeight="1">
      <c r="A219" s="1"/>
      <c r="B219" s="1"/>
      <c r="C219" s="1"/>
      <c r="D219" s="36"/>
      <c r="E219" s="36"/>
      <c r="F219" s="36"/>
      <c r="G219" s="36"/>
      <c r="H219" s="36"/>
      <c r="I219" s="36"/>
      <c r="J219" s="3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.75" customHeight="1">
      <c r="A220" s="1"/>
      <c r="B220" s="1"/>
      <c r="C220" s="1"/>
      <c r="D220" s="36"/>
      <c r="E220" s="36"/>
      <c r="F220" s="36"/>
      <c r="G220" s="36"/>
      <c r="H220" s="36"/>
      <c r="I220" s="36"/>
      <c r="J220" s="3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.75" customHeight="1">
      <c r="A221" s="1"/>
      <c r="B221" s="1"/>
      <c r="C221" s="1"/>
      <c r="D221" s="36"/>
      <c r="E221" s="36"/>
      <c r="F221" s="36"/>
      <c r="G221" s="36"/>
      <c r="H221" s="36"/>
      <c r="I221" s="36"/>
      <c r="J221" s="3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.75" customHeight="1">
      <c r="A222" s="1"/>
      <c r="B222" s="1"/>
      <c r="C222" s="1"/>
      <c r="D222" s="36"/>
      <c r="E222" s="36"/>
      <c r="F222" s="36"/>
      <c r="G222" s="36"/>
      <c r="H222" s="36"/>
      <c r="I222" s="36"/>
      <c r="J222" s="3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.75" customHeight="1">
      <c r="A223" s="1"/>
      <c r="B223" s="1"/>
      <c r="C223" s="1"/>
      <c r="D223" s="36"/>
      <c r="E223" s="36"/>
      <c r="F223" s="36"/>
      <c r="G223" s="36"/>
      <c r="H223" s="36"/>
      <c r="I223" s="36"/>
      <c r="J223" s="3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.75" customHeight="1">
      <c r="A224" s="1"/>
      <c r="B224" s="1"/>
      <c r="C224" s="1"/>
      <c r="D224" s="36"/>
      <c r="E224" s="36"/>
      <c r="F224" s="36"/>
      <c r="G224" s="36"/>
      <c r="H224" s="36"/>
      <c r="I224" s="36"/>
      <c r="J224" s="3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.75" customHeight="1">
      <c r="A225" s="1"/>
      <c r="B225" s="1"/>
      <c r="C225" s="1"/>
      <c r="D225" s="36"/>
      <c r="E225" s="36"/>
      <c r="F225" s="36"/>
      <c r="G225" s="36"/>
      <c r="H225" s="36"/>
      <c r="I225" s="36"/>
      <c r="J225" s="3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.75" customHeight="1">
      <c r="A226" s="1"/>
      <c r="B226" s="1"/>
      <c r="C226" s="1"/>
      <c r="D226" s="36"/>
      <c r="E226" s="36"/>
      <c r="F226" s="36"/>
      <c r="G226" s="36"/>
      <c r="H226" s="36"/>
      <c r="I226" s="36"/>
      <c r="J226" s="3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.75" customHeight="1">
      <c r="A227" s="1"/>
      <c r="B227" s="1"/>
      <c r="C227" s="1"/>
      <c r="D227" s="36"/>
      <c r="E227" s="36"/>
      <c r="F227" s="36"/>
      <c r="G227" s="36"/>
      <c r="H227" s="36"/>
      <c r="I227" s="36"/>
      <c r="J227" s="3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.75" customHeight="1">
      <c r="A228" s="1"/>
      <c r="B228" s="1"/>
      <c r="C228" s="1"/>
      <c r="D228" s="36"/>
      <c r="E228" s="36"/>
      <c r="F228" s="36"/>
      <c r="G228" s="36"/>
      <c r="H228" s="36"/>
      <c r="I228" s="36"/>
      <c r="J228" s="3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.75" customHeight="1">
      <c r="A229" s="1"/>
      <c r="B229" s="1"/>
      <c r="C229" s="1"/>
      <c r="D229" s="36"/>
      <c r="E229" s="36"/>
      <c r="F229" s="36"/>
      <c r="G229" s="36"/>
      <c r="H229" s="36"/>
      <c r="I229" s="36"/>
      <c r="J229" s="3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.75" customHeight="1">
      <c r="A230" s="1"/>
      <c r="B230" s="1"/>
      <c r="C230" s="1"/>
      <c r="D230" s="36"/>
      <c r="E230" s="36"/>
      <c r="F230" s="36"/>
      <c r="G230" s="36"/>
      <c r="H230" s="36"/>
      <c r="I230" s="36"/>
      <c r="J230" s="3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.75" customHeight="1">
      <c r="A231" s="1"/>
      <c r="B231" s="1"/>
      <c r="C231" s="1"/>
      <c r="D231" s="36"/>
      <c r="E231" s="36"/>
      <c r="F231" s="36"/>
      <c r="G231" s="36"/>
      <c r="H231" s="36"/>
      <c r="I231" s="36"/>
      <c r="J231" s="3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.75" customHeight="1">
      <c r="A232" s="1"/>
      <c r="B232" s="1"/>
      <c r="C232" s="1"/>
      <c r="D232" s="36"/>
      <c r="E232" s="36"/>
      <c r="F232" s="36"/>
      <c r="G232" s="36"/>
      <c r="H232" s="36"/>
      <c r="I232" s="36"/>
      <c r="J232" s="3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.75" customHeight="1">
      <c r="A233" s="1"/>
      <c r="B233" s="1"/>
      <c r="C233" s="1"/>
      <c r="D233" s="36"/>
      <c r="E233" s="36"/>
      <c r="F233" s="36"/>
      <c r="G233" s="36"/>
      <c r="H233" s="36"/>
      <c r="I233" s="36"/>
      <c r="J233" s="3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.75" customHeight="1">
      <c r="A234" s="1"/>
      <c r="B234" s="1"/>
      <c r="C234" s="1"/>
      <c r="D234" s="36"/>
      <c r="E234" s="36"/>
      <c r="F234" s="36"/>
      <c r="G234" s="36"/>
      <c r="H234" s="36"/>
      <c r="I234" s="36"/>
      <c r="J234" s="3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.75" customHeight="1">
      <c r="A235" s="1"/>
      <c r="B235" s="1"/>
      <c r="C235" s="1"/>
      <c r="D235" s="36"/>
      <c r="E235" s="36"/>
      <c r="F235" s="36"/>
      <c r="G235" s="36"/>
      <c r="H235" s="36"/>
      <c r="I235" s="36"/>
      <c r="J235" s="3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.75" customHeight="1">
      <c r="A236" s="1"/>
      <c r="B236" s="1"/>
      <c r="C236" s="1"/>
      <c r="D236" s="36"/>
      <c r="E236" s="36"/>
      <c r="F236" s="36"/>
      <c r="G236" s="36"/>
      <c r="H236" s="36"/>
      <c r="I236" s="36"/>
      <c r="J236" s="3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.75" customHeight="1">
      <c r="A237" s="1"/>
      <c r="B237" s="1"/>
      <c r="C237" s="1"/>
      <c r="D237" s="36"/>
      <c r="E237" s="36"/>
      <c r="F237" s="36"/>
      <c r="G237" s="36"/>
      <c r="H237" s="36"/>
      <c r="I237" s="36"/>
      <c r="J237" s="3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.75" customHeight="1">
      <c r="A238" s="1"/>
      <c r="B238" s="1"/>
      <c r="C238" s="1"/>
      <c r="D238" s="36"/>
      <c r="E238" s="36"/>
      <c r="F238" s="36"/>
      <c r="G238" s="36"/>
      <c r="H238" s="36"/>
      <c r="I238" s="36"/>
      <c r="J238" s="3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.75" customHeight="1">
      <c r="A239" s="1"/>
      <c r="B239" s="1"/>
      <c r="C239" s="1"/>
      <c r="D239" s="36"/>
      <c r="E239" s="36"/>
      <c r="F239" s="36"/>
      <c r="G239" s="36"/>
      <c r="H239" s="36"/>
      <c r="I239" s="36"/>
      <c r="J239" s="3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.75" customHeight="1">
      <c r="A240" s="1"/>
      <c r="B240" s="1"/>
      <c r="C240" s="1"/>
      <c r="D240" s="36"/>
      <c r="E240" s="36"/>
      <c r="F240" s="36"/>
      <c r="G240" s="36"/>
      <c r="H240" s="36"/>
      <c r="I240" s="36"/>
      <c r="J240" s="3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.75" customHeight="1">
      <c r="A241" s="1"/>
      <c r="B241" s="1"/>
      <c r="C241" s="1"/>
      <c r="D241" s="36"/>
      <c r="E241" s="36"/>
      <c r="F241" s="36"/>
      <c r="G241" s="36"/>
      <c r="H241" s="36"/>
      <c r="I241" s="36"/>
      <c r="J241" s="3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.75" customHeight="1">
      <c r="A242" s="1"/>
      <c r="B242" s="1"/>
      <c r="C242" s="1"/>
      <c r="D242" s="36"/>
      <c r="E242" s="36"/>
      <c r="F242" s="36"/>
      <c r="G242" s="36"/>
      <c r="H242" s="36"/>
      <c r="I242" s="36"/>
      <c r="J242" s="3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.75" customHeight="1">
      <c r="A243" s="1"/>
      <c r="B243" s="1"/>
      <c r="C243" s="1"/>
      <c r="D243" s="36"/>
      <c r="E243" s="36"/>
      <c r="F243" s="36"/>
      <c r="G243" s="36"/>
      <c r="H243" s="36"/>
      <c r="I243" s="36"/>
      <c r="J243" s="3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.75" customHeight="1">
      <c r="A244" s="1"/>
      <c r="B244" s="1"/>
      <c r="C244" s="1"/>
      <c r="D244" s="36"/>
      <c r="E244" s="36"/>
      <c r="F244" s="36"/>
      <c r="G244" s="36"/>
      <c r="H244" s="36"/>
      <c r="I244" s="36"/>
      <c r="J244" s="3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.75" customHeight="1">
      <c r="A245" s="1"/>
      <c r="B245" s="1"/>
      <c r="C245" s="1"/>
      <c r="D245" s="36"/>
      <c r="E245" s="36"/>
      <c r="F245" s="36"/>
      <c r="G245" s="36"/>
      <c r="H245" s="36"/>
      <c r="I245" s="36"/>
      <c r="J245" s="3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.75" customHeight="1">
      <c r="A246" s="1"/>
      <c r="B246" s="1"/>
      <c r="C246" s="1"/>
      <c r="D246" s="36"/>
      <c r="E246" s="36"/>
      <c r="F246" s="36"/>
      <c r="G246" s="36"/>
      <c r="H246" s="36"/>
      <c r="I246" s="36"/>
      <c r="J246" s="3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.75" customHeight="1">
      <c r="A247" s="1"/>
      <c r="B247" s="1"/>
      <c r="C247" s="1"/>
      <c r="D247" s="36"/>
      <c r="E247" s="36"/>
      <c r="F247" s="36"/>
      <c r="G247" s="36"/>
      <c r="H247" s="36"/>
      <c r="I247" s="36"/>
      <c r="J247" s="3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.75" customHeight="1">
      <c r="A248" s="1"/>
      <c r="B248" s="1"/>
      <c r="C248" s="1"/>
      <c r="D248" s="36"/>
      <c r="E248" s="36"/>
      <c r="F248" s="36"/>
      <c r="G248" s="36"/>
      <c r="H248" s="36"/>
      <c r="I248" s="36"/>
      <c r="J248" s="3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.75" customHeight="1">
      <c r="A249" s="1"/>
      <c r="B249" s="1"/>
      <c r="C249" s="1"/>
      <c r="D249" s="36"/>
      <c r="E249" s="36"/>
      <c r="F249" s="36"/>
      <c r="G249" s="36"/>
      <c r="H249" s="36"/>
      <c r="I249" s="36"/>
      <c r="J249" s="3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.75" customHeight="1">
      <c r="A250" s="1"/>
      <c r="B250" s="1"/>
      <c r="C250" s="1"/>
      <c r="D250" s="36"/>
      <c r="E250" s="36"/>
      <c r="F250" s="36"/>
      <c r="G250" s="36"/>
      <c r="H250" s="36"/>
      <c r="I250" s="36"/>
      <c r="J250" s="3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.75" customHeight="1">
      <c r="A251" s="1"/>
      <c r="B251" s="1"/>
      <c r="C251" s="1"/>
      <c r="D251" s="36"/>
      <c r="E251" s="36"/>
      <c r="F251" s="36"/>
      <c r="G251" s="36"/>
      <c r="H251" s="36"/>
      <c r="I251" s="36"/>
      <c r="J251" s="3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.75" customHeight="1">
      <c r="A252" s="1"/>
      <c r="B252" s="1"/>
      <c r="C252" s="1"/>
      <c r="D252" s="36"/>
      <c r="E252" s="36"/>
      <c r="F252" s="36"/>
      <c r="G252" s="36"/>
      <c r="H252" s="36"/>
      <c r="I252" s="36"/>
      <c r="J252" s="3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customHeight="1">
      <c r="A253" s="1"/>
      <c r="B253" s="1"/>
      <c r="C253" s="1"/>
      <c r="D253" s="36"/>
      <c r="E253" s="36"/>
      <c r="F253" s="36"/>
      <c r="G253" s="36"/>
      <c r="H253" s="36"/>
      <c r="I253" s="36"/>
      <c r="J253" s="3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.75" customHeight="1">
      <c r="A254" s="1"/>
      <c r="B254" s="1"/>
      <c r="C254" s="1"/>
      <c r="D254" s="36"/>
      <c r="E254" s="36"/>
      <c r="F254" s="36"/>
      <c r="G254" s="36"/>
      <c r="H254" s="36"/>
      <c r="I254" s="36"/>
      <c r="J254" s="3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customHeight="1">
      <c r="A255" s="1"/>
      <c r="B255" s="1"/>
      <c r="C255" s="1"/>
      <c r="D255" s="36"/>
      <c r="E255" s="36"/>
      <c r="F255" s="36"/>
      <c r="G255" s="36"/>
      <c r="H255" s="36"/>
      <c r="I255" s="36"/>
      <c r="J255" s="3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.75" customHeight="1">
      <c r="A256" s="1"/>
      <c r="B256" s="1"/>
      <c r="C256" s="1"/>
      <c r="D256" s="36"/>
      <c r="E256" s="36"/>
      <c r="F256" s="36"/>
      <c r="G256" s="36"/>
      <c r="H256" s="36"/>
      <c r="I256" s="36"/>
      <c r="J256" s="3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customHeight="1">
      <c r="A257" s="1"/>
      <c r="B257" s="1"/>
      <c r="C257" s="1"/>
      <c r="D257" s="36"/>
      <c r="E257" s="36"/>
      <c r="F257" s="36"/>
      <c r="G257" s="36"/>
      <c r="H257" s="36"/>
      <c r="I257" s="36"/>
      <c r="J257" s="3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.75" customHeight="1">
      <c r="A258" s="1"/>
      <c r="B258" s="1"/>
      <c r="C258" s="1"/>
      <c r="D258" s="36"/>
      <c r="E258" s="36"/>
      <c r="F258" s="36"/>
      <c r="G258" s="36"/>
      <c r="H258" s="36"/>
      <c r="I258" s="36"/>
      <c r="J258" s="3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.75" customHeight="1">
      <c r="A259" s="1"/>
      <c r="B259" s="1"/>
      <c r="C259" s="1"/>
      <c r="D259" s="36"/>
      <c r="E259" s="36"/>
      <c r="F259" s="36"/>
      <c r="G259" s="36"/>
      <c r="H259" s="36"/>
      <c r="I259" s="36"/>
      <c r="J259" s="3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.75" customHeight="1">
      <c r="A260" s="1"/>
      <c r="B260" s="1"/>
      <c r="C260" s="1"/>
      <c r="D260" s="36"/>
      <c r="E260" s="36"/>
      <c r="F260" s="36"/>
      <c r="G260" s="36"/>
      <c r="H260" s="36"/>
      <c r="I260" s="36"/>
      <c r="J260" s="3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.75" customHeight="1">
      <c r="A261" s="1"/>
      <c r="B261" s="1"/>
      <c r="C261" s="1"/>
      <c r="D261" s="36"/>
      <c r="E261" s="36"/>
      <c r="F261" s="36"/>
      <c r="G261" s="36"/>
      <c r="H261" s="36"/>
      <c r="I261" s="36"/>
      <c r="J261" s="3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.75" customHeight="1">
      <c r="A262" s="1"/>
      <c r="B262" s="1"/>
      <c r="C262" s="1"/>
      <c r="D262" s="36"/>
      <c r="E262" s="36"/>
      <c r="F262" s="36"/>
      <c r="G262" s="36"/>
      <c r="H262" s="36"/>
      <c r="I262" s="36"/>
      <c r="J262" s="3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.75" customHeight="1">
      <c r="A263" s="1"/>
      <c r="B263" s="1"/>
      <c r="C263" s="1"/>
      <c r="D263" s="36"/>
      <c r="E263" s="36"/>
      <c r="F263" s="36"/>
      <c r="G263" s="36"/>
      <c r="H263" s="36"/>
      <c r="I263" s="36"/>
      <c r="J263" s="3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.75" customHeight="1">
      <c r="A264" s="1"/>
      <c r="B264" s="1"/>
      <c r="C264" s="1"/>
      <c r="D264" s="36"/>
      <c r="E264" s="36"/>
      <c r="F264" s="36"/>
      <c r="G264" s="36"/>
      <c r="H264" s="36"/>
      <c r="I264" s="36"/>
      <c r="J264" s="3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.75" customHeight="1">
      <c r="A265" s="1"/>
      <c r="B265" s="1"/>
      <c r="C265" s="1"/>
      <c r="D265" s="36"/>
      <c r="E265" s="36"/>
      <c r="F265" s="36"/>
      <c r="G265" s="36"/>
      <c r="H265" s="36"/>
      <c r="I265" s="36"/>
      <c r="J265" s="3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.75" customHeight="1">
      <c r="A266" s="1"/>
      <c r="B266" s="1"/>
      <c r="C266" s="1"/>
      <c r="D266" s="36"/>
      <c r="E266" s="36"/>
      <c r="F266" s="36"/>
      <c r="G266" s="36"/>
      <c r="H266" s="36"/>
      <c r="I266" s="36"/>
      <c r="J266" s="3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.75" customHeight="1">
      <c r="A267" s="1"/>
      <c r="B267" s="1"/>
      <c r="C267" s="1"/>
      <c r="D267" s="36"/>
      <c r="E267" s="36"/>
      <c r="F267" s="36"/>
      <c r="G267" s="36"/>
      <c r="H267" s="36"/>
      <c r="I267" s="36"/>
      <c r="J267" s="3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.75" customHeight="1">
      <c r="A268" s="1"/>
      <c r="B268" s="1"/>
      <c r="C268" s="1"/>
      <c r="D268" s="36"/>
      <c r="E268" s="36"/>
      <c r="F268" s="36"/>
      <c r="G268" s="36"/>
      <c r="H268" s="36"/>
      <c r="I268" s="36"/>
      <c r="J268" s="3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.75" customHeight="1">
      <c r="A269" s="1"/>
      <c r="B269" s="1"/>
      <c r="C269" s="1"/>
      <c r="D269" s="36"/>
      <c r="E269" s="36"/>
      <c r="F269" s="36"/>
      <c r="G269" s="36"/>
      <c r="H269" s="36"/>
      <c r="I269" s="36"/>
      <c r="J269" s="3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.75" customHeight="1">
      <c r="A270" s="1"/>
      <c r="B270" s="1"/>
      <c r="C270" s="1"/>
      <c r="D270" s="36"/>
      <c r="E270" s="36"/>
      <c r="F270" s="36"/>
      <c r="G270" s="36"/>
      <c r="H270" s="36"/>
      <c r="I270" s="36"/>
      <c r="J270" s="3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.75" customHeight="1">
      <c r="A271" s="1"/>
      <c r="B271" s="1"/>
      <c r="C271" s="1"/>
      <c r="D271" s="36"/>
      <c r="E271" s="36"/>
      <c r="F271" s="36"/>
      <c r="G271" s="36"/>
      <c r="H271" s="36"/>
      <c r="I271" s="36"/>
      <c r="J271" s="3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.75" customHeight="1">
      <c r="A272" s="1"/>
      <c r="B272" s="1"/>
      <c r="C272" s="1"/>
      <c r="D272" s="36"/>
      <c r="E272" s="36"/>
      <c r="F272" s="36"/>
      <c r="G272" s="36"/>
      <c r="H272" s="36"/>
      <c r="I272" s="36"/>
      <c r="J272" s="3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.75" customHeight="1">
      <c r="A273" s="1"/>
      <c r="B273" s="1"/>
      <c r="C273" s="1"/>
      <c r="D273" s="36"/>
      <c r="E273" s="36"/>
      <c r="F273" s="36"/>
      <c r="G273" s="36"/>
      <c r="H273" s="36"/>
      <c r="I273" s="36"/>
      <c r="J273" s="3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.75" customHeight="1">
      <c r="A274" s="1"/>
      <c r="B274" s="1"/>
      <c r="C274" s="1"/>
      <c r="D274" s="36"/>
      <c r="E274" s="36"/>
      <c r="F274" s="36"/>
      <c r="G274" s="36"/>
      <c r="H274" s="36"/>
      <c r="I274" s="36"/>
      <c r="J274" s="3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.75" customHeight="1">
      <c r="A275" s="1"/>
      <c r="B275" s="1"/>
      <c r="C275" s="1"/>
      <c r="D275" s="36"/>
      <c r="E275" s="36"/>
      <c r="F275" s="36"/>
      <c r="G275" s="36"/>
      <c r="H275" s="36"/>
      <c r="I275" s="36"/>
      <c r="J275" s="3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.75" customHeight="1">
      <c r="A276" s="1"/>
      <c r="B276" s="1"/>
      <c r="C276" s="1"/>
      <c r="D276" s="36"/>
      <c r="E276" s="36"/>
      <c r="F276" s="36"/>
      <c r="G276" s="36"/>
      <c r="H276" s="36"/>
      <c r="I276" s="36"/>
      <c r="J276" s="3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.75" customHeight="1">
      <c r="A277" s="1"/>
      <c r="B277" s="1"/>
      <c r="C277" s="1"/>
      <c r="D277" s="36"/>
      <c r="E277" s="36"/>
      <c r="F277" s="36"/>
      <c r="G277" s="36"/>
      <c r="H277" s="36"/>
      <c r="I277" s="36"/>
      <c r="J277" s="3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.75" customHeight="1">
      <c r="A278" s="1"/>
      <c r="B278" s="1"/>
      <c r="C278" s="1"/>
      <c r="D278" s="36"/>
      <c r="E278" s="36"/>
      <c r="F278" s="36"/>
      <c r="G278" s="36"/>
      <c r="H278" s="36"/>
      <c r="I278" s="36"/>
      <c r="J278" s="3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.75" customHeight="1">
      <c r="A279" s="1"/>
      <c r="B279" s="1"/>
      <c r="C279" s="1"/>
      <c r="D279" s="36"/>
      <c r="E279" s="36"/>
      <c r="F279" s="36"/>
      <c r="G279" s="36"/>
      <c r="H279" s="36"/>
      <c r="I279" s="36"/>
      <c r="J279" s="3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.75" customHeight="1">
      <c r="A280" s="1"/>
      <c r="B280" s="1"/>
      <c r="C280" s="1"/>
      <c r="D280" s="36"/>
      <c r="E280" s="36"/>
      <c r="F280" s="36"/>
      <c r="G280" s="36"/>
      <c r="H280" s="36"/>
      <c r="I280" s="36"/>
      <c r="J280" s="3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.75" customHeight="1">
      <c r="A281" s="1"/>
      <c r="B281" s="1"/>
      <c r="C281" s="1"/>
      <c r="D281" s="36"/>
      <c r="E281" s="36"/>
      <c r="F281" s="36"/>
      <c r="G281" s="36"/>
      <c r="H281" s="36"/>
      <c r="I281" s="36"/>
      <c r="J281" s="3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.75" customHeight="1">
      <c r="A282" s="1"/>
      <c r="B282" s="1"/>
      <c r="C282" s="1"/>
      <c r="D282" s="36"/>
      <c r="E282" s="36"/>
      <c r="F282" s="36"/>
      <c r="G282" s="36"/>
      <c r="H282" s="36"/>
      <c r="I282" s="36"/>
      <c r="J282" s="3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.75" customHeight="1">
      <c r="A283" s="1"/>
      <c r="B283" s="1"/>
      <c r="C283" s="1"/>
      <c r="D283" s="36"/>
      <c r="E283" s="36"/>
      <c r="F283" s="36"/>
      <c r="G283" s="36"/>
      <c r="H283" s="36"/>
      <c r="I283" s="36"/>
      <c r="J283" s="3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.75" customHeight="1">
      <c r="A284" s="1"/>
      <c r="B284" s="1"/>
      <c r="C284" s="1"/>
      <c r="D284" s="36"/>
      <c r="E284" s="36"/>
      <c r="F284" s="36"/>
      <c r="G284" s="36"/>
      <c r="H284" s="36"/>
      <c r="I284" s="36"/>
      <c r="J284" s="3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.75" customHeight="1">
      <c r="A285" s="1"/>
      <c r="B285" s="1"/>
      <c r="C285" s="1"/>
      <c r="D285" s="36"/>
      <c r="E285" s="36"/>
      <c r="F285" s="36"/>
      <c r="G285" s="36"/>
      <c r="H285" s="36"/>
      <c r="I285" s="36"/>
      <c r="J285" s="3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.75" customHeight="1">
      <c r="A286" s="1"/>
      <c r="B286" s="1"/>
      <c r="C286" s="1"/>
      <c r="D286" s="36"/>
      <c r="E286" s="36"/>
      <c r="F286" s="36"/>
      <c r="G286" s="36"/>
      <c r="H286" s="36"/>
      <c r="I286" s="36"/>
      <c r="J286" s="3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.75" customHeight="1">
      <c r="A287" s="1"/>
      <c r="B287" s="1"/>
      <c r="C287" s="1"/>
      <c r="D287" s="36"/>
      <c r="E287" s="36"/>
      <c r="F287" s="36"/>
      <c r="G287" s="36"/>
      <c r="H287" s="36"/>
      <c r="I287" s="36"/>
      <c r="J287" s="3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.75" customHeight="1">
      <c r="A288" s="1"/>
      <c r="B288" s="1"/>
      <c r="C288" s="1"/>
      <c r="D288" s="36"/>
      <c r="E288" s="36"/>
      <c r="F288" s="36"/>
      <c r="G288" s="36"/>
      <c r="H288" s="36"/>
      <c r="I288" s="36"/>
      <c r="J288" s="3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.75" customHeight="1">
      <c r="A289" s="1"/>
      <c r="B289" s="1"/>
      <c r="C289" s="1"/>
      <c r="D289" s="36"/>
      <c r="E289" s="36"/>
      <c r="F289" s="36"/>
      <c r="G289" s="36"/>
      <c r="H289" s="36"/>
      <c r="I289" s="36"/>
      <c r="J289" s="3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.75" customHeight="1">
      <c r="A290" s="1"/>
      <c r="B290" s="1"/>
      <c r="C290" s="1"/>
      <c r="D290" s="36"/>
      <c r="E290" s="36"/>
      <c r="F290" s="36"/>
      <c r="G290" s="36"/>
      <c r="H290" s="36"/>
      <c r="I290" s="36"/>
      <c r="J290" s="3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.75" customHeight="1">
      <c r="A291" s="1"/>
      <c r="B291" s="1"/>
      <c r="C291" s="1"/>
      <c r="D291" s="36"/>
      <c r="E291" s="36"/>
      <c r="F291" s="36"/>
      <c r="G291" s="36"/>
      <c r="H291" s="36"/>
      <c r="I291" s="36"/>
      <c r="J291" s="3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.75" customHeight="1">
      <c r="A292" s="1"/>
      <c r="B292" s="1"/>
      <c r="C292" s="1"/>
      <c r="D292" s="36"/>
      <c r="E292" s="36"/>
      <c r="F292" s="36"/>
      <c r="G292" s="36"/>
      <c r="H292" s="36"/>
      <c r="I292" s="36"/>
      <c r="J292" s="3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.75" customHeight="1">
      <c r="A293" s="1"/>
      <c r="B293" s="1"/>
      <c r="C293" s="1"/>
      <c r="D293" s="36"/>
      <c r="E293" s="36"/>
      <c r="F293" s="36"/>
      <c r="G293" s="36"/>
      <c r="H293" s="36"/>
      <c r="I293" s="36"/>
      <c r="J293" s="3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.75" customHeight="1">
      <c r="A294" s="1"/>
      <c r="B294" s="1"/>
      <c r="C294" s="1"/>
      <c r="D294" s="36"/>
      <c r="E294" s="36"/>
      <c r="F294" s="36"/>
      <c r="G294" s="36"/>
      <c r="H294" s="36"/>
      <c r="I294" s="36"/>
      <c r="J294" s="3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.75" customHeight="1">
      <c r="A295" s="1"/>
      <c r="B295" s="1"/>
      <c r="C295" s="1"/>
      <c r="D295" s="36"/>
      <c r="E295" s="36"/>
      <c r="F295" s="36"/>
      <c r="G295" s="36"/>
      <c r="H295" s="36"/>
      <c r="I295" s="36"/>
      <c r="J295" s="3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.75" customHeight="1">
      <c r="A296" s="1"/>
      <c r="B296" s="1"/>
      <c r="C296" s="1"/>
      <c r="D296" s="36"/>
      <c r="E296" s="36"/>
      <c r="F296" s="36"/>
      <c r="G296" s="36"/>
      <c r="H296" s="36"/>
      <c r="I296" s="36"/>
      <c r="J296" s="3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.75" customHeight="1">
      <c r="A297" s="1"/>
      <c r="B297" s="1"/>
      <c r="C297" s="1"/>
      <c r="D297" s="36"/>
      <c r="E297" s="36"/>
      <c r="F297" s="36"/>
      <c r="G297" s="36"/>
      <c r="H297" s="36"/>
      <c r="I297" s="36"/>
      <c r="J297" s="3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customHeight="1">
      <c r="A298" s="1"/>
      <c r="B298" s="1"/>
      <c r="C298" s="1"/>
      <c r="D298" s="36"/>
      <c r="E298" s="36"/>
      <c r="F298" s="36"/>
      <c r="G298" s="36"/>
      <c r="H298" s="36"/>
      <c r="I298" s="36"/>
      <c r="J298" s="3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.75" customHeight="1">
      <c r="A299" s="1"/>
      <c r="B299" s="1"/>
      <c r="C299" s="1"/>
      <c r="D299" s="36"/>
      <c r="E299" s="36"/>
      <c r="F299" s="36"/>
      <c r="G299" s="36"/>
      <c r="H299" s="36"/>
      <c r="I299" s="36"/>
      <c r="J299" s="3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.75" customHeight="1">
      <c r="A300" s="1"/>
      <c r="B300" s="1"/>
      <c r="C300" s="1"/>
      <c r="D300" s="36"/>
      <c r="E300" s="36"/>
      <c r="F300" s="36"/>
      <c r="G300" s="36"/>
      <c r="H300" s="36"/>
      <c r="I300" s="36"/>
      <c r="J300" s="3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.75" customHeight="1">
      <c r="A301" s="1"/>
      <c r="B301" s="1"/>
      <c r="C301" s="1"/>
      <c r="D301" s="36"/>
      <c r="E301" s="36"/>
      <c r="F301" s="36"/>
      <c r="G301" s="36"/>
      <c r="H301" s="36"/>
      <c r="I301" s="36"/>
      <c r="J301" s="3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.75" customHeight="1">
      <c r="A302" s="1"/>
      <c r="B302" s="1"/>
      <c r="C302" s="1"/>
      <c r="D302" s="36"/>
      <c r="E302" s="36"/>
      <c r="F302" s="36"/>
      <c r="G302" s="36"/>
      <c r="H302" s="36"/>
      <c r="I302" s="36"/>
      <c r="J302" s="3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.75" customHeight="1">
      <c r="A303" s="1"/>
      <c r="B303" s="1"/>
      <c r="C303" s="1"/>
      <c r="D303" s="36"/>
      <c r="E303" s="36"/>
      <c r="F303" s="36"/>
      <c r="G303" s="36"/>
      <c r="H303" s="36"/>
      <c r="I303" s="36"/>
      <c r="J303" s="3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.75" customHeight="1">
      <c r="A304" s="1"/>
      <c r="B304" s="1"/>
      <c r="C304" s="1"/>
      <c r="D304" s="36"/>
      <c r="E304" s="36"/>
      <c r="F304" s="36"/>
      <c r="G304" s="36"/>
      <c r="H304" s="36"/>
      <c r="I304" s="36"/>
      <c r="J304" s="3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.75" customHeight="1">
      <c r="A305" s="1"/>
      <c r="B305" s="1"/>
      <c r="C305" s="1"/>
      <c r="D305" s="36"/>
      <c r="E305" s="36"/>
      <c r="F305" s="36"/>
      <c r="G305" s="36"/>
      <c r="H305" s="36"/>
      <c r="I305" s="36"/>
      <c r="J305" s="3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customHeight="1">
      <c r="A306" s="1"/>
      <c r="B306" s="1"/>
      <c r="C306" s="1"/>
      <c r="D306" s="36"/>
      <c r="E306" s="36"/>
      <c r="F306" s="36"/>
      <c r="G306" s="36"/>
      <c r="H306" s="36"/>
      <c r="I306" s="36"/>
      <c r="J306" s="3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.75" customHeight="1">
      <c r="A307" s="1"/>
      <c r="B307" s="1"/>
      <c r="C307" s="1"/>
      <c r="D307" s="36"/>
      <c r="E307" s="36"/>
      <c r="F307" s="36"/>
      <c r="G307" s="36"/>
      <c r="H307" s="36"/>
      <c r="I307" s="36"/>
      <c r="J307" s="3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.75" customHeight="1">
      <c r="A308" s="1"/>
      <c r="B308" s="1"/>
      <c r="C308" s="1"/>
      <c r="D308" s="36"/>
      <c r="E308" s="36"/>
      <c r="F308" s="36"/>
      <c r="G308" s="36"/>
      <c r="H308" s="36"/>
      <c r="I308" s="36"/>
      <c r="J308" s="3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.75" customHeight="1">
      <c r="A309" s="1"/>
      <c r="B309" s="1"/>
      <c r="C309" s="1"/>
      <c r="D309" s="36"/>
      <c r="E309" s="36"/>
      <c r="F309" s="36"/>
      <c r="G309" s="36"/>
      <c r="H309" s="36"/>
      <c r="I309" s="36"/>
      <c r="J309" s="3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.75" customHeight="1"/>
    <row r="311" spans="1:33" ht="15.75" customHeight="1"/>
    <row r="312" spans="1:33" ht="15.75" customHeight="1"/>
    <row r="313" spans="1:33" ht="15.75" customHeight="1"/>
    <row r="314" spans="1:33" ht="15.75" customHeight="1"/>
    <row r="315" spans="1:33" ht="15.75" customHeight="1"/>
    <row r="316" spans="1:33" ht="15.75" customHeight="1"/>
    <row r="317" spans="1:33" ht="15.75" customHeight="1"/>
    <row r="318" spans="1:33" ht="15.75" customHeight="1"/>
    <row r="319" spans="1:33" ht="15.75" customHeight="1"/>
    <row r="320" spans="1:3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autoFilter ref="A2:V112" xr:uid="{00000000-0001-0000-0000-000000000000}"/>
  <mergeCells count="12">
    <mergeCell ref="B47:D47"/>
    <mergeCell ref="B68:D68"/>
    <mergeCell ref="B80:D80"/>
    <mergeCell ref="B111:D111"/>
    <mergeCell ref="A112:D112"/>
    <mergeCell ref="W1:W2"/>
    <mergeCell ref="B24:D24"/>
    <mergeCell ref="A1:D1"/>
    <mergeCell ref="E1:G1"/>
    <mergeCell ref="H1:J1"/>
    <mergeCell ref="K1:R1"/>
    <mergeCell ref="S1:V1"/>
  </mergeCells>
  <phoneticPr fontId="9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6C18-BBB5-45A7-ACA3-406BD7E805B7}">
  <sheetPr>
    <outlinePr summaryBelow="0" summaryRight="0"/>
  </sheetPr>
  <dimension ref="A1:AJ1024"/>
  <sheetViews>
    <sheetView tabSelected="1" zoomScale="70" zoomScaleNormal="70" workbookViewId="0">
      <pane xSplit="5" ySplit="2" topLeftCell="L3" activePane="bottomRight" state="frozen"/>
      <selection pane="topRight" activeCell="E1" sqref="E1"/>
      <selection pane="bottomLeft" activeCell="A3" sqref="A3"/>
      <selection pane="bottomRight" activeCell="Q3" sqref="Q3"/>
    </sheetView>
  </sheetViews>
  <sheetFormatPr defaultColWidth="12.6640625" defaultRowHeight="15" customHeight="1" outlineLevelCol="1"/>
  <cols>
    <col min="1" max="1" width="7.6640625" customWidth="1"/>
    <col min="2" max="2" width="10.19921875" customWidth="1"/>
    <col min="3" max="3" width="10.53125" customWidth="1"/>
    <col min="4" max="4" width="10.53125" style="38" customWidth="1"/>
    <col min="5" max="5" width="8" style="38" customWidth="1" collapsed="1"/>
    <col min="6" max="11" width="7.6640625" style="38" hidden="1" customWidth="1" outlineLevel="1"/>
    <col min="12" max="25" width="7.6640625" customWidth="1"/>
    <col min="26" max="26" width="190.06640625" bestFit="1" customWidth="1"/>
    <col min="27" max="27" width="10" customWidth="1"/>
    <col min="28" max="36" width="12.796875" customWidth="1"/>
  </cols>
  <sheetData>
    <row r="1" spans="1:36" ht="15.75" customHeight="1">
      <c r="A1" s="125" t="s">
        <v>0</v>
      </c>
      <c r="B1" s="123"/>
      <c r="C1" s="123"/>
      <c r="D1" s="133"/>
      <c r="E1" s="124"/>
      <c r="F1" s="126" t="s">
        <v>1</v>
      </c>
      <c r="G1" s="127"/>
      <c r="H1" s="128"/>
      <c r="I1" s="129" t="s">
        <v>2</v>
      </c>
      <c r="J1" s="130"/>
      <c r="K1" s="131"/>
      <c r="L1" s="132" t="s">
        <v>544</v>
      </c>
      <c r="M1" s="133"/>
      <c r="N1" s="133"/>
      <c r="O1" s="133"/>
      <c r="P1" s="133"/>
      <c r="Q1" s="133"/>
      <c r="R1" s="133"/>
      <c r="S1" s="133"/>
      <c r="T1" s="133"/>
      <c r="U1" s="134"/>
      <c r="V1" s="132" t="s">
        <v>3</v>
      </c>
      <c r="W1" s="135"/>
      <c r="X1" s="133"/>
      <c r="Y1" s="134"/>
      <c r="Z1" s="120" t="s">
        <v>4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customHeight="1">
      <c r="A2" s="2" t="s">
        <v>5</v>
      </c>
      <c r="B2" s="3" t="s">
        <v>6</v>
      </c>
      <c r="C2" s="3" t="s">
        <v>7</v>
      </c>
      <c r="D2" s="43" t="s">
        <v>543</v>
      </c>
      <c r="E2" s="4" t="s">
        <v>8</v>
      </c>
      <c r="F2" s="43" t="s">
        <v>9</v>
      </c>
      <c r="G2" s="43" t="s">
        <v>263</v>
      </c>
      <c r="H2" s="43"/>
      <c r="I2" s="44" t="s">
        <v>9</v>
      </c>
      <c r="J2" s="43" t="s">
        <v>263</v>
      </c>
      <c r="K2" s="45"/>
      <c r="L2" s="44" t="s">
        <v>263</v>
      </c>
      <c r="M2" s="43" t="s">
        <v>282</v>
      </c>
      <c r="N2" s="43" t="s">
        <v>462</v>
      </c>
      <c r="O2" s="43" t="s">
        <v>504</v>
      </c>
      <c r="P2" s="43" t="s">
        <v>505</v>
      </c>
      <c r="Q2" s="43" t="s">
        <v>506</v>
      </c>
      <c r="R2" s="43" t="s">
        <v>507</v>
      </c>
      <c r="S2" s="43" t="s">
        <v>539</v>
      </c>
      <c r="T2" s="43" t="s">
        <v>540</v>
      </c>
      <c r="U2" s="45" t="s">
        <v>463</v>
      </c>
      <c r="V2" s="44" t="s">
        <v>263</v>
      </c>
      <c r="W2" s="43" t="s">
        <v>282</v>
      </c>
      <c r="X2" s="43" t="s">
        <v>462</v>
      </c>
      <c r="Y2" s="45" t="s">
        <v>463</v>
      </c>
      <c r="Z2" s="12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.75" customHeight="1">
      <c r="A3" s="5" t="s">
        <v>11</v>
      </c>
      <c r="B3" s="6" t="s">
        <v>12</v>
      </c>
      <c r="C3" s="6" t="s">
        <v>13</v>
      </c>
      <c r="D3" s="7"/>
      <c r="E3" s="22">
        <v>2.5</v>
      </c>
      <c r="F3" s="7" t="s">
        <v>14</v>
      </c>
      <c r="G3" s="7"/>
      <c r="H3" s="7"/>
      <c r="I3" s="58" t="s">
        <v>15</v>
      </c>
      <c r="J3" s="7"/>
      <c r="K3" s="42"/>
      <c r="L3" s="33" t="s">
        <v>546</v>
      </c>
      <c r="M3" s="7"/>
      <c r="N3" s="7"/>
      <c r="O3" s="7"/>
      <c r="P3" s="7"/>
      <c r="Q3" s="7"/>
      <c r="R3" s="7"/>
      <c r="S3" s="7" t="s">
        <v>548</v>
      </c>
      <c r="T3" s="7"/>
      <c r="U3" s="42"/>
      <c r="V3" s="33" t="s">
        <v>15</v>
      </c>
      <c r="W3" s="7"/>
      <c r="X3" s="7"/>
      <c r="Y3" s="42"/>
      <c r="Z3" s="8" t="s">
        <v>16</v>
      </c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customHeight="1">
      <c r="A4" s="9">
        <v>3</v>
      </c>
      <c r="B4" s="6" t="s">
        <v>17</v>
      </c>
      <c r="C4" s="6" t="s">
        <v>13</v>
      </c>
      <c r="D4" s="7"/>
      <c r="E4" s="22">
        <v>0</v>
      </c>
      <c r="F4" s="7" t="s">
        <v>15</v>
      </c>
      <c r="G4" s="7"/>
      <c r="H4" s="7"/>
      <c r="I4" s="33" t="s">
        <v>15</v>
      </c>
      <c r="J4" s="7"/>
      <c r="K4" s="42"/>
      <c r="L4" s="33"/>
      <c r="M4" s="7"/>
      <c r="N4" s="7"/>
      <c r="O4" s="7"/>
      <c r="P4" s="7"/>
      <c r="Q4" s="7"/>
      <c r="R4" s="7"/>
      <c r="S4" s="7" t="s">
        <v>548</v>
      </c>
      <c r="T4" s="7"/>
      <c r="U4" s="42"/>
      <c r="V4" s="33" t="s">
        <v>15</v>
      </c>
      <c r="W4" s="7"/>
      <c r="X4" s="7"/>
      <c r="Y4" s="42"/>
      <c r="Z4" s="8" t="s">
        <v>18</v>
      </c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customHeight="1">
      <c r="A5" s="10">
        <v>0.38</v>
      </c>
      <c r="B5" s="6" t="s">
        <v>19</v>
      </c>
      <c r="C5" s="6" t="s">
        <v>13</v>
      </c>
      <c r="D5" s="7"/>
      <c r="E5" s="22">
        <f>ROUND(50/(A5*40*1.2),2)</f>
        <v>2.74</v>
      </c>
      <c r="F5" s="7" t="s">
        <v>14</v>
      </c>
      <c r="G5" s="7"/>
      <c r="H5" s="7"/>
      <c r="I5" s="33" t="s">
        <v>15</v>
      </c>
      <c r="J5" s="7"/>
      <c r="K5" s="42"/>
      <c r="L5" s="33"/>
      <c r="M5" s="7"/>
      <c r="N5" s="7"/>
      <c r="O5" s="7"/>
      <c r="P5" s="7"/>
      <c r="Q5" s="7"/>
      <c r="R5" s="7"/>
      <c r="S5" s="7" t="s">
        <v>548</v>
      </c>
      <c r="T5" s="7"/>
      <c r="U5" s="42"/>
      <c r="V5" s="33" t="s">
        <v>15</v>
      </c>
      <c r="W5" s="7"/>
      <c r="X5" s="7"/>
      <c r="Y5" s="42"/>
      <c r="Z5" s="11" t="s">
        <v>20</v>
      </c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.75" customHeight="1">
      <c r="A6" s="9"/>
      <c r="B6" s="6" t="s">
        <v>21</v>
      </c>
      <c r="C6" s="6" t="s">
        <v>22</v>
      </c>
      <c r="D6" s="7" t="s">
        <v>543</v>
      </c>
      <c r="E6" s="22">
        <v>3</v>
      </c>
      <c r="F6" s="7" t="s">
        <v>14</v>
      </c>
      <c r="G6" s="7"/>
      <c r="H6" s="7"/>
      <c r="I6" s="33" t="s">
        <v>15</v>
      </c>
      <c r="J6" s="7"/>
      <c r="K6" s="42"/>
      <c r="L6" s="33"/>
      <c r="M6" s="7"/>
      <c r="N6" s="7"/>
      <c r="O6" s="7"/>
      <c r="P6" s="7"/>
      <c r="Q6" s="7"/>
      <c r="R6" s="7"/>
      <c r="S6" s="7" t="s">
        <v>548</v>
      </c>
      <c r="T6" s="7"/>
      <c r="U6" s="42"/>
      <c r="V6" s="33" t="s">
        <v>15</v>
      </c>
      <c r="W6" s="7"/>
      <c r="X6" s="7"/>
      <c r="Y6" s="42"/>
      <c r="Z6" s="11" t="s">
        <v>23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.75" customHeight="1">
      <c r="A7" s="9"/>
      <c r="B7" s="6" t="s">
        <v>24</v>
      </c>
      <c r="C7" s="6" t="s">
        <v>13</v>
      </c>
      <c r="D7" s="7"/>
      <c r="E7" s="22">
        <v>2</v>
      </c>
      <c r="F7" s="7" t="s">
        <v>15</v>
      </c>
      <c r="G7" s="7"/>
      <c r="H7" s="7"/>
      <c r="I7" s="33" t="s">
        <v>15</v>
      </c>
      <c r="J7" s="7"/>
      <c r="K7" s="42"/>
      <c r="L7" s="33"/>
      <c r="M7" s="7"/>
      <c r="N7" s="7"/>
      <c r="O7" s="7"/>
      <c r="P7" s="7"/>
      <c r="Q7" s="7"/>
      <c r="R7" s="7"/>
      <c r="S7" s="7" t="s">
        <v>548</v>
      </c>
      <c r="T7" s="7"/>
      <c r="U7" s="42"/>
      <c r="V7" s="33" t="s">
        <v>14</v>
      </c>
      <c r="W7" s="7"/>
      <c r="X7" s="7"/>
      <c r="Y7" s="42"/>
      <c r="Z7" s="11" t="s">
        <v>25</v>
      </c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 customHeight="1">
      <c r="A8" s="9"/>
      <c r="B8" s="6" t="s">
        <v>26</v>
      </c>
      <c r="C8" s="6" t="s">
        <v>27</v>
      </c>
      <c r="D8" s="7"/>
      <c r="E8" s="22">
        <v>3</v>
      </c>
      <c r="F8" s="7" t="s">
        <v>15</v>
      </c>
      <c r="G8" s="7"/>
      <c r="H8" s="7"/>
      <c r="I8" s="33" t="s">
        <v>15</v>
      </c>
      <c r="J8" s="7"/>
      <c r="K8" s="42"/>
      <c r="L8" s="33"/>
      <c r="M8" s="7"/>
      <c r="N8" s="7"/>
      <c r="O8" s="7"/>
      <c r="P8" s="7"/>
      <c r="Q8" s="7"/>
      <c r="R8" s="7"/>
      <c r="S8" s="7" t="s">
        <v>548</v>
      </c>
      <c r="T8" s="7"/>
      <c r="U8" s="42"/>
      <c r="V8" s="33" t="s">
        <v>15</v>
      </c>
      <c r="W8" s="7"/>
      <c r="X8" s="7"/>
      <c r="Y8" s="42"/>
      <c r="Z8" s="8" t="s">
        <v>28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 customHeight="1">
      <c r="A9" s="9"/>
      <c r="B9" s="6" t="s">
        <v>29</v>
      </c>
      <c r="C9" s="6" t="s">
        <v>22</v>
      </c>
      <c r="D9" s="7"/>
      <c r="E9" s="22">
        <v>2.5</v>
      </c>
      <c r="F9" s="7" t="s">
        <v>14</v>
      </c>
      <c r="G9" s="7"/>
      <c r="H9" s="7"/>
      <c r="I9" s="33" t="s">
        <v>15</v>
      </c>
      <c r="J9" s="7"/>
      <c r="K9" s="42"/>
      <c r="L9" s="33"/>
      <c r="M9" s="7"/>
      <c r="N9" s="7"/>
      <c r="O9" s="7"/>
      <c r="P9" s="7"/>
      <c r="Q9" s="7"/>
      <c r="R9" s="7"/>
      <c r="S9" s="7" t="s">
        <v>548</v>
      </c>
      <c r="T9" s="7"/>
      <c r="U9" s="42"/>
      <c r="V9" s="33" t="s">
        <v>15</v>
      </c>
      <c r="W9" s="7"/>
      <c r="X9" s="7"/>
      <c r="Y9" s="42"/>
      <c r="Z9" s="8" t="s">
        <v>545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.75" customHeight="1">
      <c r="A10" s="9"/>
      <c r="B10" s="6" t="s">
        <v>31</v>
      </c>
      <c r="C10" s="6" t="s">
        <v>27</v>
      </c>
      <c r="D10" s="7"/>
      <c r="E10" s="22">
        <v>2</v>
      </c>
      <c r="F10" s="7" t="s">
        <v>15</v>
      </c>
      <c r="G10" s="7"/>
      <c r="H10" s="7"/>
      <c r="I10" s="33" t="s">
        <v>15</v>
      </c>
      <c r="J10" s="7"/>
      <c r="K10" s="42"/>
      <c r="L10" s="33"/>
      <c r="M10" s="7"/>
      <c r="N10" s="7"/>
      <c r="O10" s="7"/>
      <c r="P10" s="7"/>
      <c r="Q10" s="7"/>
      <c r="R10" s="7"/>
      <c r="S10" s="7"/>
      <c r="T10" s="7"/>
      <c r="U10" s="42"/>
      <c r="V10" s="33" t="s">
        <v>15</v>
      </c>
      <c r="W10" s="7"/>
      <c r="X10" s="7"/>
      <c r="Y10" s="42"/>
      <c r="Z10" s="11" t="s">
        <v>255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75" customHeight="1">
      <c r="A11" s="9"/>
      <c r="B11" s="6" t="s">
        <v>32</v>
      </c>
      <c r="C11" s="6" t="s">
        <v>27</v>
      </c>
      <c r="D11" s="7"/>
      <c r="E11" s="22">
        <f>ROUND(50/(A5*40*1.2),2)</f>
        <v>2.74</v>
      </c>
      <c r="F11" s="7" t="s">
        <v>14</v>
      </c>
      <c r="G11" s="7"/>
      <c r="H11" s="7"/>
      <c r="I11" s="33" t="s">
        <v>15</v>
      </c>
      <c r="J11" s="7"/>
      <c r="K11" s="42"/>
      <c r="L11" s="33"/>
      <c r="M11" s="7"/>
      <c r="N11" s="7"/>
      <c r="O11" s="7"/>
      <c r="P11" s="7"/>
      <c r="Q11" s="7" t="s">
        <v>548</v>
      </c>
      <c r="R11" s="7"/>
      <c r="S11" s="7" t="s">
        <v>548</v>
      </c>
      <c r="T11" s="7"/>
      <c r="U11" s="42"/>
      <c r="V11" s="33" t="s">
        <v>15</v>
      </c>
      <c r="W11" s="7"/>
      <c r="X11" s="7"/>
      <c r="Y11" s="42"/>
      <c r="Z11" s="11" t="s">
        <v>33</v>
      </c>
      <c r="AA11" s="1"/>
      <c r="AB11" s="57"/>
      <c r="AC11" s="1"/>
      <c r="AD11" s="1"/>
      <c r="AE11" s="1"/>
      <c r="AF11" s="1"/>
      <c r="AG11" s="1"/>
      <c r="AH11" s="1"/>
      <c r="AI11" s="1"/>
      <c r="AJ11" s="1"/>
    </row>
    <row r="12" spans="1:36" ht="15.75" customHeight="1">
      <c r="A12" s="9"/>
      <c r="B12" s="6" t="s">
        <v>34</v>
      </c>
      <c r="C12" s="6" t="s">
        <v>27</v>
      </c>
      <c r="D12" s="7"/>
      <c r="E12" s="22">
        <v>1.5</v>
      </c>
      <c r="F12" s="7" t="s">
        <v>14</v>
      </c>
      <c r="G12" s="7"/>
      <c r="H12" s="7"/>
      <c r="I12" s="33" t="s">
        <v>15</v>
      </c>
      <c r="J12" s="7"/>
      <c r="K12" s="42"/>
      <c r="L12" s="33"/>
      <c r="M12" s="7"/>
      <c r="N12" s="7"/>
      <c r="O12" s="7"/>
      <c r="P12" s="7"/>
      <c r="Q12" s="7"/>
      <c r="R12" s="7"/>
      <c r="S12" s="7" t="s">
        <v>548</v>
      </c>
      <c r="T12" s="7"/>
      <c r="U12" s="42"/>
      <c r="V12" s="33" t="s">
        <v>15</v>
      </c>
      <c r="W12" s="7"/>
      <c r="X12" s="7"/>
      <c r="Y12" s="42"/>
      <c r="Z12" s="11" t="s">
        <v>35</v>
      </c>
      <c r="AA12" s="12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customHeight="1">
      <c r="A13" s="9"/>
      <c r="B13" s="6" t="s">
        <v>36</v>
      </c>
      <c r="C13" s="6" t="s">
        <v>22</v>
      </c>
      <c r="D13" s="7"/>
      <c r="E13" s="22">
        <v>2</v>
      </c>
      <c r="F13" s="7" t="s">
        <v>15</v>
      </c>
      <c r="G13" s="7"/>
      <c r="H13" s="7"/>
      <c r="I13" s="33" t="s">
        <v>15</v>
      </c>
      <c r="J13" s="7"/>
      <c r="K13" s="42"/>
      <c r="L13" s="33"/>
      <c r="M13" s="7"/>
      <c r="N13" s="7"/>
      <c r="O13" s="7"/>
      <c r="P13" s="7"/>
      <c r="Q13" s="7" t="s">
        <v>548</v>
      </c>
      <c r="R13" s="7"/>
      <c r="S13" s="7" t="s">
        <v>548</v>
      </c>
      <c r="T13" s="7"/>
      <c r="U13" s="42"/>
      <c r="V13" s="33" t="s">
        <v>15</v>
      </c>
      <c r="W13" s="7"/>
      <c r="X13" s="7"/>
      <c r="Y13" s="42"/>
      <c r="Z13" s="11" t="s">
        <v>37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.75" customHeight="1">
      <c r="A14" s="9"/>
      <c r="B14" s="6" t="s">
        <v>38</v>
      </c>
      <c r="C14" s="6" t="s">
        <v>13</v>
      </c>
      <c r="D14" s="7"/>
      <c r="E14" s="22">
        <v>2</v>
      </c>
      <c r="F14" s="7" t="s">
        <v>15</v>
      </c>
      <c r="G14" s="7"/>
      <c r="H14" s="7"/>
      <c r="I14" s="33" t="s">
        <v>15</v>
      </c>
      <c r="J14" s="7"/>
      <c r="K14" s="42"/>
      <c r="L14" s="33"/>
      <c r="M14" s="7"/>
      <c r="N14" s="7"/>
      <c r="O14" s="7"/>
      <c r="P14" s="7"/>
      <c r="Q14" s="7" t="s">
        <v>548</v>
      </c>
      <c r="R14" s="7"/>
      <c r="S14" s="7" t="s">
        <v>548</v>
      </c>
      <c r="T14" s="7"/>
      <c r="U14" s="42"/>
      <c r="V14" s="33" t="s">
        <v>15</v>
      </c>
      <c r="W14" s="7"/>
      <c r="X14" s="7"/>
      <c r="Y14" s="42"/>
      <c r="Z14" s="11" t="s">
        <v>39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75" customHeight="1">
      <c r="A15" s="9"/>
      <c r="B15" s="6" t="s">
        <v>40</v>
      </c>
      <c r="C15" s="6" t="s">
        <v>27</v>
      </c>
      <c r="D15" s="7"/>
      <c r="E15" s="22">
        <v>1</v>
      </c>
      <c r="F15" s="7" t="s">
        <v>15</v>
      </c>
      <c r="G15" s="7"/>
      <c r="H15" s="7"/>
      <c r="I15" s="58" t="s">
        <v>14</v>
      </c>
      <c r="J15" s="7"/>
      <c r="K15" s="42"/>
      <c r="L15" s="33"/>
      <c r="M15" s="7"/>
      <c r="N15" s="7"/>
      <c r="O15" s="7"/>
      <c r="P15" s="7"/>
      <c r="Q15" s="7"/>
      <c r="R15" s="7"/>
      <c r="S15" s="7" t="s">
        <v>548</v>
      </c>
      <c r="T15" s="7"/>
      <c r="U15" s="42"/>
      <c r="V15" s="33" t="s">
        <v>15</v>
      </c>
      <c r="W15" s="7"/>
      <c r="X15" s="7"/>
      <c r="Y15" s="42"/>
      <c r="Z15" s="11" t="s">
        <v>41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.75" customHeight="1">
      <c r="A16" s="9"/>
      <c r="B16" s="6" t="s">
        <v>42</v>
      </c>
      <c r="C16" s="6" t="s">
        <v>22</v>
      </c>
      <c r="D16" s="7"/>
      <c r="E16" s="22">
        <f>ROUND(30/(A5*50),2)</f>
        <v>1.58</v>
      </c>
      <c r="F16" s="7" t="s">
        <v>15</v>
      </c>
      <c r="G16" s="7"/>
      <c r="H16" s="7"/>
      <c r="I16" s="33" t="s">
        <v>15</v>
      </c>
      <c r="J16" s="7"/>
      <c r="K16" s="42"/>
      <c r="L16" s="33"/>
      <c r="M16" s="7"/>
      <c r="N16" s="7"/>
      <c r="O16" s="7"/>
      <c r="P16" s="7"/>
      <c r="Q16" s="7" t="s">
        <v>548</v>
      </c>
      <c r="R16" s="7"/>
      <c r="S16" s="7" t="s">
        <v>548</v>
      </c>
      <c r="T16" s="7"/>
      <c r="U16" s="42"/>
      <c r="V16" s="33" t="s">
        <v>15</v>
      </c>
      <c r="W16" s="7"/>
      <c r="X16" s="7"/>
      <c r="Y16" s="42"/>
      <c r="Z16" s="8" t="s">
        <v>43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customHeight="1">
      <c r="A17" s="9"/>
      <c r="B17" s="6" t="s">
        <v>44</v>
      </c>
      <c r="C17" s="6" t="s">
        <v>22</v>
      </c>
      <c r="D17" s="7"/>
      <c r="E17" s="22">
        <v>1</v>
      </c>
      <c r="F17" s="7" t="s">
        <v>14</v>
      </c>
      <c r="G17" s="7"/>
      <c r="H17" s="7"/>
      <c r="I17" s="59" t="s">
        <v>15</v>
      </c>
      <c r="J17" s="7"/>
      <c r="K17" s="42"/>
      <c r="L17" s="59"/>
      <c r="M17" s="7"/>
      <c r="N17" s="7"/>
      <c r="O17" s="7"/>
      <c r="P17" s="7"/>
      <c r="Q17" s="7"/>
      <c r="R17" s="7"/>
      <c r="S17" s="7" t="s">
        <v>550</v>
      </c>
      <c r="T17" s="7"/>
      <c r="U17" s="42"/>
      <c r="V17" s="58" t="s">
        <v>15</v>
      </c>
      <c r="W17" s="7"/>
      <c r="X17" s="7"/>
      <c r="Y17" s="42"/>
      <c r="Z17" s="11" t="s">
        <v>256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 customHeight="1">
      <c r="A18" s="9"/>
      <c r="B18" s="6" t="s">
        <v>45</v>
      </c>
      <c r="C18" s="6" t="s">
        <v>13</v>
      </c>
      <c r="D18" s="7"/>
      <c r="E18" s="22">
        <v>2</v>
      </c>
      <c r="F18" s="7" t="s">
        <v>14</v>
      </c>
      <c r="G18" s="7"/>
      <c r="H18" s="7"/>
      <c r="I18" s="59" t="s">
        <v>15</v>
      </c>
      <c r="J18" s="7"/>
      <c r="K18" s="42"/>
      <c r="L18" s="59"/>
      <c r="M18" s="7"/>
      <c r="N18" s="7"/>
      <c r="O18" s="7"/>
      <c r="P18" s="7"/>
      <c r="Q18" s="7"/>
      <c r="R18" s="7"/>
      <c r="S18" s="7" t="s">
        <v>550</v>
      </c>
      <c r="T18" s="7"/>
      <c r="U18" s="42"/>
      <c r="V18" s="33" t="s">
        <v>15</v>
      </c>
      <c r="W18" s="7"/>
      <c r="X18" s="7"/>
      <c r="Y18" s="42"/>
      <c r="Z18" s="11" t="s">
        <v>46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customHeight="1">
      <c r="A19" s="9"/>
      <c r="B19" s="6" t="s">
        <v>249</v>
      </c>
      <c r="C19" s="6" t="s">
        <v>27</v>
      </c>
      <c r="D19" s="7"/>
      <c r="E19" s="22">
        <v>1</v>
      </c>
      <c r="F19" s="7" t="s">
        <v>14</v>
      </c>
      <c r="G19" s="7"/>
      <c r="H19" s="7"/>
      <c r="I19" s="33" t="s">
        <v>15</v>
      </c>
      <c r="J19" s="7"/>
      <c r="K19" s="42"/>
      <c r="L19" s="59"/>
      <c r="M19" s="7"/>
      <c r="N19" s="7"/>
      <c r="O19" s="7"/>
      <c r="P19" s="7"/>
      <c r="Q19" s="7"/>
      <c r="R19" s="7"/>
      <c r="S19" s="7" t="s">
        <v>550</v>
      </c>
      <c r="T19" s="7"/>
      <c r="U19" s="42"/>
      <c r="V19" s="33" t="s">
        <v>15</v>
      </c>
      <c r="W19" s="7"/>
      <c r="X19" s="7"/>
      <c r="Y19" s="42"/>
      <c r="Z19" s="11" t="s">
        <v>258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 customHeight="1">
      <c r="A20" s="9"/>
      <c r="B20" s="6" t="s">
        <v>259</v>
      </c>
      <c r="C20" s="6" t="s">
        <v>27</v>
      </c>
      <c r="D20" s="7"/>
      <c r="E20" s="22">
        <v>1</v>
      </c>
      <c r="F20" s="7" t="s">
        <v>14</v>
      </c>
      <c r="G20" s="7"/>
      <c r="H20" s="7"/>
      <c r="I20" s="33"/>
      <c r="J20" s="7"/>
      <c r="K20" s="42"/>
      <c r="L20" s="59"/>
      <c r="M20" s="7"/>
      <c r="N20" s="7"/>
      <c r="O20" s="7"/>
      <c r="P20" s="7"/>
      <c r="Q20" s="7"/>
      <c r="R20" s="7"/>
      <c r="S20" s="7" t="s">
        <v>550</v>
      </c>
      <c r="T20" s="7"/>
      <c r="U20" s="42"/>
      <c r="V20" s="33" t="s">
        <v>15</v>
      </c>
      <c r="W20" s="7"/>
      <c r="X20" s="7"/>
      <c r="Y20" s="42"/>
      <c r="Z20" s="11" t="s">
        <v>260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customHeight="1">
      <c r="A21" s="9"/>
      <c r="B21" s="6" t="s">
        <v>47</v>
      </c>
      <c r="C21" s="6" t="s">
        <v>13</v>
      </c>
      <c r="D21" s="7" t="s">
        <v>543</v>
      </c>
      <c r="E21" s="22">
        <v>1</v>
      </c>
      <c r="F21" s="7" t="s">
        <v>15</v>
      </c>
      <c r="G21" s="7"/>
      <c r="H21" s="7"/>
      <c r="I21" s="33" t="s">
        <v>15</v>
      </c>
      <c r="J21" s="7"/>
      <c r="K21" s="42"/>
      <c r="L21" s="33"/>
      <c r="M21" s="7"/>
      <c r="N21" s="7"/>
      <c r="O21" s="7"/>
      <c r="P21" s="7"/>
      <c r="Q21" s="7"/>
      <c r="R21" s="7"/>
      <c r="S21" s="7" t="s">
        <v>548</v>
      </c>
      <c r="T21" s="7"/>
      <c r="U21" s="42"/>
      <c r="V21" s="33" t="s">
        <v>15</v>
      </c>
      <c r="W21" s="7"/>
      <c r="X21" s="7"/>
      <c r="Y21" s="42"/>
      <c r="Z21" s="11" t="s">
        <v>265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customHeight="1">
      <c r="A22" s="9"/>
      <c r="B22" s="6" t="s">
        <v>269</v>
      </c>
      <c r="C22" s="6" t="s">
        <v>267</v>
      </c>
      <c r="D22" s="7"/>
      <c r="E22" s="22">
        <v>1</v>
      </c>
      <c r="F22" s="7"/>
      <c r="G22" s="7"/>
      <c r="H22" s="7"/>
      <c r="I22" s="33"/>
      <c r="J22" s="7"/>
      <c r="K22" s="42"/>
      <c r="L22" s="33"/>
      <c r="M22" s="7"/>
      <c r="N22" s="7"/>
      <c r="O22" s="7"/>
      <c r="P22" s="7"/>
      <c r="Q22" s="7" t="s">
        <v>550</v>
      </c>
      <c r="R22" s="7"/>
      <c r="S22" s="7" t="s">
        <v>550</v>
      </c>
      <c r="T22" s="7"/>
      <c r="U22" s="42"/>
      <c r="V22" s="33"/>
      <c r="W22" s="7"/>
      <c r="X22" s="7"/>
      <c r="Y22" s="42"/>
      <c r="Z22" s="11" t="s">
        <v>276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customHeight="1">
      <c r="A23" s="9"/>
      <c r="B23" s="6" t="s">
        <v>48</v>
      </c>
      <c r="C23" s="6" t="s">
        <v>13</v>
      </c>
      <c r="D23" s="7"/>
      <c r="E23" s="22">
        <v>2</v>
      </c>
      <c r="F23" s="7" t="s">
        <v>15</v>
      </c>
      <c r="G23" s="7"/>
      <c r="H23" s="7"/>
      <c r="I23" s="33" t="s">
        <v>15</v>
      </c>
      <c r="J23" s="7"/>
      <c r="K23" s="42"/>
      <c r="L23" s="33"/>
      <c r="M23" s="7"/>
      <c r="N23" s="7"/>
      <c r="O23" s="7"/>
      <c r="P23" s="7"/>
      <c r="Q23" s="7"/>
      <c r="R23" s="7"/>
      <c r="S23" s="7" t="s">
        <v>548</v>
      </c>
      <c r="T23" s="7"/>
      <c r="U23" s="42"/>
      <c r="V23" s="33" t="s">
        <v>15</v>
      </c>
      <c r="W23" s="7"/>
      <c r="X23" s="7"/>
      <c r="Y23" s="42"/>
      <c r="Z23" s="11" t="s">
        <v>557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customHeight="1">
      <c r="A24" s="13"/>
      <c r="B24" s="137" t="s">
        <v>49</v>
      </c>
      <c r="C24" s="138"/>
      <c r="D24" s="115"/>
      <c r="E24" s="113"/>
      <c r="F24" s="39">
        <f t="shared" ref="F24:I24" si="0">COUNTIF(F3:F23,"○")</f>
        <v>10</v>
      </c>
      <c r="G24" s="30"/>
      <c r="H24" s="30"/>
      <c r="I24" s="34">
        <f t="shared" si="0"/>
        <v>1</v>
      </c>
      <c r="J24" s="30"/>
      <c r="K24" s="65"/>
      <c r="L24" s="67"/>
      <c r="M24" s="30"/>
      <c r="N24" s="30"/>
      <c r="O24" s="30"/>
      <c r="P24" s="30"/>
      <c r="Q24" s="30"/>
      <c r="R24" s="30"/>
      <c r="S24" s="30"/>
      <c r="T24" s="30"/>
      <c r="U24" s="65"/>
      <c r="V24" s="32"/>
      <c r="W24" s="30"/>
      <c r="X24" s="30"/>
      <c r="Y24" s="65"/>
      <c r="Z24" s="69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customHeight="1">
      <c r="A25" s="5" t="s">
        <v>50</v>
      </c>
      <c r="B25" s="6" t="s">
        <v>51</v>
      </c>
      <c r="C25" s="6" t="s">
        <v>13</v>
      </c>
      <c r="D25" s="7"/>
      <c r="E25" s="22">
        <f>ROUND(50/(A27*40*1.2),2)</f>
        <v>4.34</v>
      </c>
      <c r="F25" s="7" t="s">
        <v>15</v>
      </c>
      <c r="G25" s="7"/>
      <c r="H25" s="7"/>
      <c r="I25" s="58" t="s">
        <v>15</v>
      </c>
      <c r="J25" s="7"/>
      <c r="K25" s="42"/>
      <c r="L25" s="33"/>
      <c r="M25" s="7"/>
      <c r="N25" s="7"/>
      <c r="O25" s="7"/>
      <c r="P25" s="7"/>
      <c r="Q25" s="7"/>
      <c r="R25" s="7"/>
      <c r="S25" s="7" t="s">
        <v>548</v>
      </c>
      <c r="T25" s="7"/>
      <c r="U25" s="42"/>
      <c r="V25" s="33" t="s">
        <v>15</v>
      </c>
      <c r="W25" s="7"/>
      <c r="X25" s="7"/>
      <c r="Y25" s="42"/>
      <c r="Z25" s="8" t="s">
        <v>52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customHeight="1">
      <c r="A26" s="9">
        <v>2</v>
      </c>
      <c r="B26" s="6" t="s">
        <v>53</v>
      </c>
      <c r="C26" s="6" t="s">
        <v>13</v>
      </c>
      <c r="D26" s="7"/>
      <c r="E26" s="22">
        <v>0</v>
      </c>
      <c r="F26" s="7" t="s">
        <v>15</v>
      </c>
      <c r="G26" s="7"/>
      <c r="H26" s="7"/>
      <c r="I26" s="33" t="s">
        <v>15</v>
      </c>
      <c r="J26" s="7"/>
      <c r="K26" s="42"/>
      <c r="L26" s="33"/>
      <c r="M26" s="7"/>
      <c r="N26" s="7"/>
      <c r="O26" s="7"/>
      <c r="P26" s="7"/>
      <c r="Q26" s="7"/>
      <c r="R26" s="7"/>
      <c r="S26" s="7" t="s">
        <v>548</v>
      </c>
      <c r="T26" s="7"/>
      <c r="U26" s="42"/>
      <c r="V26" s="33" t="s">
        <v>15</v>
      </c>
      <c r="W26" s="7"/>
      <c r="X26" s="7"/>
      <c r="Y26" s="42"/>
      <c r="Z26" s="8" t="s">
        <v>54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customHeight="1">
      <c r="A27" s="10">
        <v>0.24</v>
      </c>
      <c r="B27" s="6" t="s">
        <v>55</v>
      </c>
      <c r="C27" s="6" t="s">
        <v>27</v>
      </c>
      <c r="D27" s="7"/>
      <c r="E27" s="22">
        <v>3</v>
      </c>
      <c r="F27" s="7" t="s">
        <v>15</v>
      </c>
      <c r="G27" s="7"/>
      <c r="H27" s="7"/>
      <c r="I27" s="33" t="s">
        <v>15</v>
      </c>
      <c r="J27" s="7"/>
      <c r="K27" s="42"/>
      <c r="L27" s="33"/>
      <c r="M27" s="7"/>
      <c r="N27" s="7"/>
      <c r="O27" s="7"/>
      <c r="P27" s="7"/>
      <c r="Q27" s="7"/>
      <c r="R27" s="7"/>
      <c r="S27" s="7" t="s">
        <v>548</v>
      </c>
      <c r="T27" s="7"/>
      <c r="U27" s="42"/>
      <c r="V27" s="33" t="s">
        <v>15</v>
      </c>
      <c r="W27" s="7"/>
      <c r="X27" s="7"/>
      <c r="Y27" s="42"/>
      <c r="Z27" s="8" t="s">
        <v>56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customHeight="1">
      <c r="A28" s="9"/>
      <c r="B28" s="6" t="s">
        <v>57</v>
      </c>
      <c r="C28" s="6" t="s">
        <v>27</v>
      </c>
      <c r="D28" s="7"/>
      <c r="E28" s="22">
        <v>2.5</v>
      </c>
      <c r="F28" s="7" t="s">
        <v>14</v>
      </c>
      <c r="G28" s="7"/>
      <c r="H28" s="7"/>
      <c r="I28" s="33" t="s">
        <v>15</v>
      </c>
      <c r="J28" s="7"/>
      <c r="K28" s="42"/>
      <c r="L28" s="33"/>
      <c r="M28" s="7"/>
      <c r="N28" s="7"/>
      <c r="O28" s="7"/>
      <c r="P28" s="7"/>
      <c r="Q28" s="7"/>
      <c r="R28" s="7"/>
      <c r="S28" s="7" t="s">
        <v>548</v>
      </c>
      <c r="T28" s="7"/>
      <c r="U28" s="42"/>
      <c r="V28" s="33" t="s">
        <v>15</v>
      </c>
      <c r="W28" s="7"/>
      <c r="X28" s="7"/>
      <c r="Y28" s="42"/>
      <c r="Z28" s="8" t="s">
        <v>58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customHeight="1">
      <c r="A29" s="9"/>
      <c r="B29" s="6" t="s">
        <v>59</v>
      </c>
      <c r="C29" s="6" t="s">
        <v>27</v>
      </c>
      <c r="D29" s="7"/>
      <c r="E29" s="22">
        <v>2.5</v>
      </c>
      <c r="F29" s="7" t="s">
        <v>14</v>
      </c>
      <c r="G29" s="7"/>
      <c r="H29" s="7"/>
      <c r="I29" s="33" t="s">
        <v>15</v>
      </c>
      <c r="J29" s="7"/>
      <c r="K29" s="42"/>
      <c r="L29" s="33"/>
      <c r="M29" s="7"/>
      <c r="N29" s="7"/>
      <c r="O29" s="7"/>
      <c r="P29" s="7"/>
      <c r="Q29" s="7"/>
      <c r="R29" s="7"/>
      <c r="S29" s="7" t="s">
        <v>548</v>
      </c>
      <c r="T29" s="7"/>
      <c r="U29" s="42"/>
      <c r="V29" s="33" t="s">
        <v>15</v>
      </c>
      <c r="W29" s="7"/>
      <c r="X29" s="7"/>
      <c r="Y29" s="42"/>
      <c r="Z29" s="11" t="s">
        <v>60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customHeight="1">
      <c r="A30" s="9"/>
      <c r="B30" s="6" t="s">
        <v>61</v>
      </c>
      <c r="C30" s="6" t="s">
        <v>13</v>
      </c>
      <c r="D30" s="7"/>
      <c r="E30" s="22">
        <v>2.5</v>
      </c>
      <c r="F30" s="7" t="s">
        <v>14</v>
      </c>
      <c r="G30" s="7"/>
      <c r="H30" s="7"/>
      <c r="I30" s="33" t="s">
        <v>15</v>
      </c>
      <c r="J30" s="7"/>
      <c r="K30" s="42"/>
      <c r="L30" s="33"/>
      <c r="M30" s="7"/>
      <c r="N30" s="7"/>
      <c r="O30" s="7"/>
      <c r="P30" s="7"/>
      <c r="Q30" s="7"/>
      <c r="R30" s="7"/>
      <c r="S30" s="7" t="s">
        <v>550</v>
      </c>
      <c r="T30" s="7"/>
      <c r="U30" s="42"/>
      <c r="V30" s="33" t="s">
        <v>15</v>
      </c>
      <c r="W30" s="7"/>
      <c r="X30" s="7"/>
      <c r="Y30" s="42"/>
      <c r="Z30" s="11" t="s">
        <v>62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customHeight="1">
      <c r="A31" s="9"/>
      <c r="B31" s="6" t="s">
        <v>63</v>
      </c>
      <c r="C31" s="6" t="s">
        <v>22</v>
      </c>
      <c r="D31" s="7"/>
      <c r="E31" s="22">
        <v>1.5</v>
      </c>
      <c r="F31" s="7" t="s">
        <v>14</v>
      </c>
      <c r="G31" s="7"/>
      <c r="H31" s="7"/>
      <c r="I31" s="33" t="s">
        <v>15</v>
      </c>
      <c r="J31" s="7"/>
      <c r="K31" s="42"/>
      <c r="L31" s="33"/>
      <c r="M31" s="7"/>
      <c r="N31" s="7"/>
      <c r="O31" s="7"/>
      <c r="P31" s="7"/>
      <c r="Q31" s="7"/>
      <c r="R31" s="7"/>
      <c r="S31" s="7" t="s">
        <v>548</v>
      </c>
      <c r="T31" s="7"/>
      <c r="U31" s="42"/>
      <c r="V31" s="33" t="s">
        <v>15</v>
      </c>
      <c r="W31" s="7"/>
      <c r="X31" s="7"/>
      <c r="Y31" s="42"/>
      <c r="Z31" s="11" t="s">
        <v>64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customHeight="1">
      <c r="A32" s="9"/>
      <c r="B32" s="6" t="s">
        <v>65</v>
      </c>
      <c r="C32" s="6" t="s">
        <v>13</v>
      </c>
      <c r="D32" s="7"/>
      <c r="E32" s="22">
        <v>2</v>
      </c>
      <c r="F32" s="7" t="s">
        <v>15</v>
      </c>
      <c r="G32" s="7"/>
      <c r="H32" s="7"/>
      <c r="I32" s="33" t="s">
        <v>15</v>
      </c>
      <c r="J32" s="7"/>
      <c r="K32" s="42"/>
      <c r="L32" s="33"/>
      <c r="M32" s="7"/>
      <c r="N32" s="7"/>
      <c r="O32" s="7"/>
      <c r="P32" s="7"/>
      <c r="Q32" s="7"/>
      <c r="R32" s="7"/>
      <c r="S32" s="7" t="s">
        <v>548</v>
      </c>
      <c r="T32" s="7"/>
      <c r="U32" s="42"/>
      <c r="V32" s="33" t="s">
        <v>15</v>
      </c>
      <c r="W32" s="7"/>
      <c r="X32" s="7"/>
      <c r="Y32" s="42"/>
      <c r="Z32" s="11" t="s">
        <v>66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customHeight="1">
      <c r="A33" s="9"/>
      <c r="B33" s="6" t="s">
        <v>67</v>
      </c>
      <c r="C33" s="6" t="s">
        <v>13</v>
      </c>
      <c r="D33" s="7"/>
      <c r="E33" s="22">
        <v>1</v>
      </c>
      <c r="F33" s="7" t="s">
        <v>14</v>
      </c>
      <c r="G33" s="7"/>
      <c r="H33" s="7"/>
      <c r="I33" s="33" t="s">
        <v>15</v>
      </c>
      <c r="J33" s="7"/>
      <c r="K33" s="42"/>
      <c r="L33" s="33"/>
      <c r="M33" s="7"/>
      <c r="N33" s="7"/>
      <c r="O33" s="7"/>
      <c r="P33" s="7"/>
      <c r="Q33" s="7"/>
      <c r="R33" s="7"/>
      <c r="S33" s="7"/>
      <c r="T33" s="7"/>
      <c r="U33" s="42"/>
      <c r="V33" s="33" t="s">
        <v>15</v>
      </c>
      <c r="W33" s="7"/>
      <c r="X33" s="7"/>
      <c r="Y33" s="42"/>
      <c r="Z33" s="11" t="s">
        <v>68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customHeight="1">
      <c r="A34" s="9"/>
      <c r="B34" s="6" t="s">
        <v>69</v>
      </c>
      <c r="C34" s="6" t="s">
        <v>27</v>
      </c>
      <c r="D34" s="7"/>
      <c r="E34" s="22">
        <v>2.5</v>
      </c>
      <c r="F34" s="7" t="s">
        <v>14</v>
      </c>
      <c r="G34" s="7"/>
      <c r="H34" s="7"/>
      <c r="I34" s="33" t="s">
        <v>15</v>
      </c>
      <c r="J34" s="7"/>
      <c r="K34" s="42"/>
      <c r="L34" s="33"/>
      <c r="M34" s="7"/>
      <c r="N34" s="7"/>
      <c r="O34" s="7"/>
      <c r="P34" s="7"/>
      <c r="Q34" s="7"/>
      <c r="R34" s="7"/>
      <c r="S34" s="7" t="s">
        <v>548</v>
      </c>
      <c r="T34" s="7"/>
      <c r="U34" s="42"/>
      <c r="V34" s="33" t="s">
        <v>15</v>
      </c>
      <c r="W34" s="7"/>
      <c r="X34" s="7"/>
      <c r="Y34" s="42"/>
      <c r="Z34" s="11" t="s">
        <v>70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customHeight="1">
      <c r="A35" s="9"/>
      <c r="B35" s="6" t="s">
        <v>71</v>
      </c>
      <c r="C35" s="6" t="s">
        <v>22</v>
      </c>
      <c r="D35" s="7"/>
      <c r="E35" s="22">
        <v>1.6</v>
      </c>
      <c r="F35" s="7" t="s">
        <v>14</v>
      </c>
      <c r="G35" s="7"/>
      <c r="H35" s="7"/>
      <c r="I35" s="33" t="s">
        <v>15</v>
      </c>
      <c r="J35" s="7"/>
      <c r="K35" s="42"/>
      <c r="L35" s="33"/>
      <c r="M35" s="7"/>
      <c r="N35" s="7"/>
      <c r="O35" s="7"/>
      <c r="P35" s="7"/>
      <c r="Q35" s="7" t="s">
        <v>548</v>
      </c>
      <c r="R35" s="7"/>
      <c r="S35" s="7" t="s">
        <v>548</v>
      </c>
      <c r="T35" s="7"/>
      <c r="U35" s="42"/>
      <c r="V35" s="33" t="s">
        <v>15</v>
      </c>
      <c r="W35" s="7"/>
      <c r="X35" s="7"/>
      <c r="Y35" s="42"/>
      <c r="Z35" s="11" t="s">
        <v>72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customHeight="1">
      <c r="A36" s="9"/>
      <c r="B36" s="6" t="s">
        <v>73</v>
      </c>
      <c r="C36" s="6" t="s">
        <v>27</v>
      </c>
      <c r="D36" s="7"/>
      <c r="E36" s="22">
        <v>2</v>
      </c>
      <c r="F36" s="7" t="s">
        <v>14</v>
      </c>
      <c r="G36" s="7"/>
      <c r="H36" s="7"/>
      <c r="I36" s="33" t="s">
        <v>15</v>
      </c>
      <c r="J36" s="7"/>
      <c r="K36" s="42"/>
      <c r="L36" s="33"/>
      <c r="M36" s="7"/>
      <c r="N36" s="7"/>
      <c r="O36" s="7"/>
      <c r="P36" s="7"/>
      <c r="Q36" s="7"/>
      <c r="R36" s="7"/>
      <c r="S36" s="7" t="s">
        <v>548</v>
      </c>
      <c r="T36" s="7"/>
      <c r="U36" s="42"/>
      <c r="V36" s="33" t="s">
        <v>14</v>
      </c>
      <c r="W36" s="7"/>
      <c r="X36" s="7"/>
      <c r="Y36" s="42"/>
      <c r="Z36" s="8" t="s">
        <v>74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customHeight="1">
      <c r="A37" s="9"/>
      <c r="B37" s="6" t="s">
        <v>75</v>
      </c>
      <c r="C37" s="6" t="s">
        <v>27</v>
      </c>
      <c r="D37" s="7"/>
      <c r="E37" s="22">
        <v>2.7</v>
      </c>
      <c r="F37" s="7" t="s">
        <v>14</v>
      </c>
      <c r="G37" s="7"/>
      <c r="H37" s="7"/>
      <c r="I37" s="33" t="s">
        <v>15</v>
      </c>
      <c r="J37" s="7"/>
      <c r="K37" s="42"/>
      <c r="L37" s="33"/>
      <c r="M37" s="7"/>
      <c r="N37" s="7"/>
      <c r="O37" s="7"/>
      <c r="P37" s="7"/>
      <c r="Q37" s="7"/>
      <c r="R37" s="7"/>
      <c r="S37" s="7"/>
      <c r="T37" s="7"/>
      <c r="U37" s="42"/>
      <c r="V37" s="33" t="s">
        <v>15</v>
      </c>
      <c r="W37" s="7"/>
      <c r="X37" s="7"/>
      <c r="Y37" s="42"/>
      <c r="Z37" s="11" t="s">
        <v>76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>
      <c r="A38" s="9"/>
      <c r="B38" s="6" t="s">
        <v>77</v>
      </c>
      <c r="C38" s="6" t="s">
        <v>13</v>
      </c>
      <c r="D38" s="7"/>
      <c r="E38" s="22">
        <v>1</v>
      </c>
      <c r="F38" s="7" t="s">
        <v>14</v>
      </c>
      <c r="G38" s="7"/>
      <c r="H38" s="7"/>
      <c r="I38" s="33" t="s">
        <v>15</v>
      </c>
      <c r="J38" s="7"/>
      <c r="K38" s="42"/>
      <c r="L38" s="33"/>
      <c r="M38" s="7"/>
      <c r="N38" s="7"/>
      <c r="O38" s="7"/>
      <c r="P38" s="7"/>
      <c r="Q38" s="7"/>
      <c r="R38" s="7"/>
      <c r="S38" s="7" t="s">
        <v>548</v>
      </c>
      <c r="T38" s="7"/>
      <c r="U38" s="42"/>
      <c r="V38" s="33" t="s">
        <v>15</v>
      </c>
      <c r="W38" s="7"/>
      <c r="X38" s="7"/>
      <c r="Y38" s="42"/>
      <c r="Z38" s="11" t="s">
        <v>78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>
      <c r="A39" s="9"/>
      <c r="B39" s="6" t="s">
        <v>79</v>
      </c>
      <c r="C39" s="6" t="s">
        <v>13</v>
      </c>
      <c r="D39" s="7"/>
      <c r="E39" s="22">
        <v>2</v>
      </c>
      <c r="F39" s="7" t="s">
        <v>14</v>
      </c>
      <c r="G39" s="7"/>
      <c r="H39" s="7"/>
      <c r="I39" s="59" t="s">
        <v>15</v>
      </c>
      <c r="J39" s="7"/>
      <c r="K39" s="42"/>
      <c r="L39" s="59"/>
      <c r="M39" s="7"/>
      <c r="N39" s="7"/>
      <c r="O39" s="7"/>
      <c r="P39" s="7"/>
      <c r="Q39" s="7"/>
      <c r="R39" s="7"/>
      <c r="S39" s="7"/>
      <c r="T39" s="7"/>
      <c r="U39" s="42"/>
      <c r="V39" s="33" t="s">
        <v>15</v>
      </c>
      <c r="W39" s="7"/>
      <c r="X39" s="7"/>
      <c r="Y39" s="42"/>
      <c r="Z39" s="11" t="s">
        <v>80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customHeight="1">
      <c r="A40" s="9"/>
      <c r="B40" s="6" t="s">
        <v>81</v>
      </c>
      <c r="C40" s="6" t="s">
        <v>22</v>
      </c>
      <c r="D40" s="7"/>
      <c r="E40" s="22">
        <v>1</v>
      </c>
      <c r="F40" s="7" t="s">
        <v>14</v>
      </c>
      <c r="G40" s="7"/>
      <c r="H40" s="7"/>
      <c r="I40" s="59" t="s">
        <v>15</v>
      </c>
      <c r="J40" s="7"/>
      <c r="K40" s="42"/>
      <c r="L40" s="59"/>
      <c r="M40" s="7"/>
      <c r="N40" s="7"/>
      <c r="O40" s="7"/>
      <c r="P40" s="7"/>
      <c r="Q40" s="7"/>
      <c r="R40" s="7"/>
      <c r="S40" s="7"/>
      <c r="T40" s="7"/>
      <c r="U40" s="42"/>
      <c r="V40" s="33" t="s">
        <v>15</v>
      </c>
      <c r="W40" s="7"/>
      <c r="X40" s="7"/>
      <c r="Y40" s="42"/>
      <c r="Z40" s="11" t="s">
        <v>82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>
      <c r="A41" s="9"/>
      <c r="B41" s="6" t="s">
        <v>83</v>
      </c>
      <c r="C41" s="6" t="s">
        <v>22</v>
      </c>
      <c r="D41" s="7"/>
      <c r="E41" s="22">
        <v>1.39</v>
      </c>
      <c r="F41" s="7" t="s">
        <v>14</v>
      </c>
      <c r="G41" s="7"/>
      <c r="H41" s="7"/>
      <c r="I41" s="33" t="s">
        <v>15</v>
      </c>
      <c r="J41" s="7"/>
      <c r="K41" s="42"/>
      <c r="L41" s="33"/>
      <c r="M41" s="7"/>
      <c r="N41" s="7"/>
      <c r="O41" s="7"/>
      <c r="P41" s="7"/>
      <c r="Q41" s="7"/>
      <c r="R41" s="7"/>
      <c r="S41" s="7"/>
      <c r="T41" s="7"/>
      <c r="U41" s="42"/>
      <c r="V41" s="33" t="s">
        <v>15</v>
      </c>
      <c r="W41" s="7"/>
      <c r="X41" s="7"/>
      <c r="Y41" s="42"/>
      <c r="Z41" s="11" t="s">
        <v>84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customHeight="1">
      <c r="A42" s="9"/>
      <c r="B42" s="6" t="s">
        <v>266</v>
      </c>
      <c r="C42" s="6" t="s">
        <v>267</v>
      </c>
      <c r="D42" s="7"/>
      <c r="E42" s="22">
        <v>1.51</v>
      </c>
      <c r="F42" s="7"/>
      <c r="G42" s="7"/>
      <c r="H42" s="7"/>
      <c r="I42" s="33"/>
      <c r="J42" s="7"/>
      <c r="K42" s="42"/>
      <c r="L42" s="33"/>
      <c r="M42" s="7"/>
      <c r="N42" s="7"/>
      <c r="O42" s="7"/>
      <c r="P42" s="7"/>
      <c r="Q42" s="7"/>
      <c r="R42" s="7"/>
      <c r="S42" s="7"/>
      <c r="T42" s="7"/>
      <c r="U42" s="42"/>
      <c r="V42" s="33"/>
      <c r="W42" s="7"/>
      <c r="X42" s="7"/>
      <c r="Y42" s="42"/>
      <c r="Z42" s="11" t="s">
        <v>268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customHeight="1">
      <c r="A43" s="9"/>
      <c r="B43" s="6" t="s">
        <v>85</v>
      </c>
      <c r="C43" s="6" t="s">
        <v>13</v>
      </c>
      <c r="D43" s="7"/>
      <c r="E43" s="22">
        <v>3</v>
      </c>
      <c r="F43" s="7" t="s">
        <v>15</v>
      </c>
      <c r="G43" s="7"/>
      <c r="H43" s="7"/>
      <c r="I43" s="33" t="s">
        <v>15</v>
      </c>
      <c r="J43" s="7"/>
      <c r="K43" s="42"/>
      <c r="L43" s="33"/>
      <c r="M43" s="7"/>
      <c r="N43" s="7"/>
      <c r="O43" s="7"/>
      <c r="P43" s="7"/>
      <c r="Q43" s="7"/>
      <c r="R43" s="7"/>
      <c r="S43" s="7" t="s">
        <v>548</v>
      </c>
      <c r="T43" s="7"/>
      <c r="U43" s="42"/>
      <c r="V43" s="33" t="s">
        <v>15</v>
      </c>
      <c r="W43" s="7"/>
      <c r="X43" s="7"/>
      <c r="Y43" s="42"/>
      <c r="Z43" s="11" t="s">
        <v>556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>
      <c r="A44" s="9"/>
      <c r="B44" s="6" t="s">
        <v>541</v>
      </c>
      <c r="C44" s="6" t="s">
        <v>542</v>
      </c>
      <c r="D44" s="7"/>
      <c r="E44" s="22">
        <v>1</v>
      </c>
      <c r="F44" s="7"/>
      <c r="G44" s="7"/>
      <c r="H44" s="7"/>
      <c r="I44" s="33"/>
      <c r="J44" s="7"/>
      <c r="K44" s="42"/>
      <c r="L44" s="33"/>
      <c r="M44" s="7"/>
      <c r="N44" s="7"/>
      <c r="O44" s="7"/>
      <c r="P44" s="7"/>
      <c r="Q44" s="7" t="s">
        <v>570</v>
      </c>
      <c r="R44" s="7"/>
      <c r="S44" s="7" t="s">
        <v>548</v>
      </c>
      <c r="T44" s="7"/>
      <c r="U44" s="42"/>
      <c r="V44" s="33"/>
      <c r="W44" s="7"/>
      <c r="X44" s="7"/>
      <c r="Y44" s="42"/>
      <c r="Z44" s="1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>
      <c r="A45" s="9"/>
      <c r="B45" s="6" t="s">
        <v>508</v>
      </c>
      <c r="C45" s="6" t="s">
        <v>267</v>
      </c>
      <c r="D45" s="7"/>
      <c r="E45" s="22">
        <v>1</v>
      </c>
      <c r="F45" s="7"/>
      <c r="G45" s="7"/>
      <c r="H45" s="7"/>
      <c r="I45" s="33"/>
      <c r="J45" s="7"/>
      <c r="K45" s="42"/>
      <c r="L45" s="33"/>
      <c r="M45" s="7"/>
      <c r="N45" s="7"/>
      <c r="O45" s="7"/>
      <c r="P45" s="7"/>
      <c r="Q45" s="7"/>
      <c r="R45" s="7"/>
      <c r="S45" s="7" t="s">
        <v>548</v>
      </c>
      <c r="T45" s="7"/>
      <c r="U45" s="42"/>
      <c r="V45" s="33"/>
      <c r="W45" s="7"/>
      <c r="X45" s="7"/>
      <c r="Y45" s="42"/>
      <c r="Z45" s="1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>
      <c r="A46" s="9"/>
      <c r="B46" s="6"/>
      <c r="C46" s="6"/>
      <c r="D46" s="7"/>
      <c r="E46" s="22"/>
      <c r="F46" s="7"/>
      <c r="G46" s="7"/>
      <c r="H46" s="7"/>
      <c r="I46" s="33"/>
      <c r="J46" s="7"/>
      <c r="K46" s="42"/>
      <c r="L46" s="33"/>
      <c r="M46" s="7"/>
      <c r="N46" s="7"/>
      <c r="O46" s="7"/>
      <c r="P46" s="7"/>
      <c r="Q46" s="7"/>
      <c r="R46" s="7"/>
      <c r="S46" s="7"/>
      <c r="T46" s="7"/>
      <c r="U46" s="42"/>
      <c r="V46" s="33"/>
      <c r="W46" s="7"/>
      <c r="X46" s="7"/>
      <c r="Y46" s="42"/>
      <c r="Z46" s="1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>
      <c r="A47" s="9"/>
      <c r="B47" s="6" t="s">
        <v>552</v>
      </c>
      <c r="C47" s="6" t="s">
        <v>553</v>
      </c>
      <c r="D47" s="7"/>
      <c r="E47" s="22"/>
      <c r="F47" s="7"/>
      <c r="G47" s="7"/>
      <c r="H47" s="7"/>
      <c r="I47" s="33"/>
      <c r="J47" s="7"/>
      <c r="K47" s="42"/>
      <c r="L47" s="33"/>
      <c r="M47" s="7"/>
      <c r="N47" s="7"/>
      <c r="O47" s="7"/>
      <c r="P47" s="7"/>
      <c r="Q47" s="7"/>
      <c r="R47" s="7"/>
      <c r="S47" s="7" t="s">
        <v>548</v>
      </c>
      <c r="T47" s="7"/>
      <c r="U47" s="42"/>
      <c r="V47" s="33"/>
      <c r="W47" s="7"/>
      <c r="X47" s="7"/>
      <c r="Y47" s="42"/>
      <c r="Z47" s="11" t="s">
        <v>554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>
      <c r="A48" s="9"/>
      <c r="B48" s="6" t="s">
        <v>86</v>
      </c>
      <c r="C48" s="6" t="s">
        <v>13</v>
      </c>
      <c r="D48" s="7"/>
      <c r="E48" s="22" t="s">
        <v>15</v>
      </c>
      <c r="F48" s="7" t="s">
        <v>15</v>
      </c>
      <c r="G48" s="7"/>
      <c r="H48" s="7"/>
      <c r="I48" s="33" t="s">
        <v>15</v>
      </c>
      <c r="J48" s="7"/>
      <c r="K48" s="42"/>
      <c r="L48" s="33"/>
      <c r="M48" s="7"/>
      <c r="N48" s="7"/>
      <c r="O48" s="7"/>
      <c r="P48" s="7"/>
      <c r="Q48" s="7"/>
      <c r="R48" s="7"/>
      <c r="S48" s="7"/>
      <c r="T48" s="7"/>
      <c r="U48" s="42"/>
      <c r="V48" s="33" t="s">
        <v>15</v>
      </c>
      <c r="W48" s="7"/>
      <c r="X48" s="7"/>
      <c r="Y48" s="42"/>
      <c r="Z48" s="11" t="s">
        <v>87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customHeight="1">
      <c r="A49" s="9"/>
      <c r="B49" s="6" t="s">
        <v>88</v>
      </c>
      <c r="C49" s="6" t="s">
        <v>27</v>
      </c>
      <c r="D49" s="7"/>
      <c r="E49" s="22" t="s">
        <v>15</v>
      </c>
      <c r="F49" s="7" t="s">
        <v>15</v>
      </c>
      <c r="G49" s="7"/>
      <c r="H49" s="7"/>
      <c r="I49" s="33" t="s">
        <v>15</v>
      </c>
      <c r="J49" s="7"/>
      <c r="K49" s="42"/>
      <c r="L49" s="33"/>
      <c r="M49" s="7"/>
      <c r="N49" s="7"/>
      <c r="O49" s="7"/>
      <c r="P49" s="7"/>
      <c r="Q49" s="7"/>
      <c r="R49" s="7"/>
      <c r="S49" s="7"/>
      <c r="T49" s="7"/>
      <c r="U49" s="42"/>
      <c r="V49" s="33" t="s">
        <v>15</v>
      </c>
      <c r="W49" s="7"/>
      <c r="X49" s="7"/>
      <c r="Y49" s="42"/>
      <c r="Z49" s="1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customHeight="1">
      <c r="A50" s="13"/>
      <c r="B50" s="122" t="s">
        <v>49</v>
      </c>
      <c r="C50" s="123"/>
      <c r="D50" s="133"/>
      <c r="E50" s="124"/>
      <c r="F50" s="14">
        <f t="shared" ref="F50:I50" si="1">COUNTIF(F25:F49,"○")</f>
        <v>13</v>
      </c>
      <c r="G50" s="31"/>
      <c r="H50" s="31"/>
      <c r="I50" s="34">
        <f t="shared" si="1"/>
        <v>0</v>
      </c>
      <c r="J50" s="31"/>
      <c r="K50" s="46"/>
      <c r="L50" s="34"/>
      <c r="M50" s="30"/>
      <c r="N50" s="30"/>
      <c r="O50" s="30"/>
      <c r="P50" s="30"/>
      <c r="Q50" s="30"/>
      <c r="R50" s="30"/>
      <c r="S50" s="30"/>
      <c r="T50" s="30"/>
      <c r="U50" s="46"/>
      <c r="V50" s="34"/>
      <c r="W50" s="31"/>
      <c r="X50" s="30"/>
      <c r="Y50" s="46"/>
      <c r="Z50" s="70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customHeight="1">
      <c r="A51" s="5" t="s">
        <v>89</v>
      </c>
      <c r="B51" s="6" t="s">
        <v>90</v>
      </c>
      <c r="C51" s="6" t="s">
        <v>27</v>
      </c>
      <c r="D51" s="7"/>
      <c r="E51" s="22">
        <v>3</v>
      </c>
      <c r="F51" s="7" t="s">
        <v>14</v>
      </c>
      <c r="G51" s="7"/>
      <c r="H51" s="7"/>
      <c r="I51" s="33" t="s">
        <v>15</v>
      </c>
      <c r="J51" s="7"/>
      <c r="K51" s="42"/>
      <c r="L51" s="33"/>
      <c r="M51" s="7"/>
      <c r="N51" s="7"/>
      <c r="O51" s="7"/>
      <c r="P51" s="7"/>
      <c r="Q51" s="7"/>
      <c r="R51" s="7"/>
      <c r="S51" s="7"/>
      <c r="T51" s="7"/>
      <c r="U51" s="42"/>
      <c r="V51" s="33" t="s">
        <v>15</v>
      </c>
      <c r="W51" s="7"/>
      <c r="X51" s="7"/>
      <c r="Y51" s="42"/>
      <c r="Z51" s="8" t="s">
        <v>28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>
      <c r="A52" s="9">
        <v>3</v>
      </c>
      <c r="B52" s="6" t="s">
        <v>91</v>
      </c>
      <c r="C52" s="6" t="s">
        <v>22</v>
      </c>
      <c r="D52" s="7"/>
      <c r="E52" s="22">
        <v>3</v>
      </c>
      <c r="F52" s="7" t="s">
        <v>14</v>
      </c>
      <c r="G52" s="7"/>
      <c r="H52" s="7"/>
      <c r="I52" s="33" t="s">
        <v>15</v>
      </c>
      <c r="J52" s="7"/>
      <c r="K52" s="42"/>
      <c r="L52" s="33"/>
      <c r="M52" s="7"/>
      <c r="N52" s="7"/>
      <c r="O52" s="7"/>
      <c r="P52" s="7"/>
      <c r="Q52" s="7"/>
      <c r="R52" s="7"/>
      <c r="S52" s="7"/>
      <c r="T52" s="7"/>
      <c r="U52" s="42"/>
      <c r="V52" s="33" t="s">
        <v>15</v>
      </c>
      <c r="W52" s="7"/>
      <c r="X52" s="7"/>
      <c r="Y52" s="42"/>
      <c r="Z52" s="8" t="s">
        <v>56</v>
      </c>
      <c r="AA52" s="1"/>
      <c r="AB52" s="57"/>
      <c r="AC52" s="57"/>
      <c r="AD52" s="1"/>
      <c r="AE52" s="1"/>
      <c r="AF52" s="1"/>
      <c r="AG52" s="1"/>
      <c r="AH52" s="1"/>
      <c r="AI52" s="1"/>
      <c r="AJ52" s="1"/>
    </row>
    <row r="53" spans="1:36" ht="15.75" customHeight="1">
      <c r="A53" s="10">
        <v>0.38</v>
      </c>
      <c r="B53" s="6" t="s">
        <v>92</v>
      </c>
      <c r="C53" s="6" t="s">
        <v>27</v>
      </c>
      <c r="D53" s="7"/>
      <c r="E53" s="22">
        <v>1.33</v>
      </c>
      <c r="F53" s="62" t="s">
        <v>15</v>
      </c>
      <c r="G53" s="7"/>
      <c r="H53" s="7"/>
      <c r="I53" s="33" t="s">
        <v>15</v>
      </c>
      <c r="J53" s="7"/>
      <c r="K53" s="42"/>
      <c r="L53" s="33"/>
      <c r="M53" s="7"/>
      <c r="N53" s="7"/>
      <c r="O53" s="7"/>
      <c r="P53" s="7"/>
      <c r="Q53" s="7"/>
      <c r="R53" s="7"/>
      <c r="S53" s="7"/>
      <c r="T53" s="7"/>
      <c r="U53" s="42"/>
      <c r="V53" s="33" t="s">
        <v>15</v>
      </c>
      <c r="W53" s="7"/>
      <c r="X53" s="7"/>
      <c r="Y53" s="42"/>
      <c r="Z53" s="8" t="s">
        <v>93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>
      <c r="A54" s="9"/>
      <c r="B54" s="6" t="s">
        <v>94</v>
      </c>
      <c r="C54" s="6" t="s">
        <v>22</v>
      </c>
      <c r="D54" s="7"/>
      <c r="E54" s="22">
        <v>1</v>
      </c>
      <c r="F54" s="7" t="s">
        <v>15</v>
      </c>
      <c r="G54" s="7"/>
      <c r="H54" s="7"/>
      <c r="I54" s="33" t="s">
        <v>15</v>
      </c>
      <c r="J54" s="7"/>
      <c r="K54" s="42"/>
      <c r="L54" s="33"/>
      <c r="M54" s="7"/>
      <c r="N54" s="7"/>
      <c r="O54" s="7"/>
      <c r="P54" s="7"/>
      <c r="Q54" s="7"/>
      <c r="R54" s="7"/>
      <c r="S54" s="7" t="s">
        <v>548</v>
      </c>
      <c r="T54" s="7"/>
      <c r="U54" s="42"/>
      <c r="V54" s="33" t="s">
        <v>15</v>
      </c>
      <c r="W54" s="7"/>
      <c r="X54" s="7"/>
      <c r="Y54" s="42"/>
      <c r="Z54" s="11" t="s">
        <v>95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>
      <c r="A55" s="9"/>
      <c r="B55" s="6" t="s">
        <v>96</v>
      </c>
      <c r="C55" s="6" t="s">
        <v>13</v>
      </c>
      <c r="D55" s="7"/>
      <c r="E55" s="22">
        <v>1</v>
      </c>
      <c r="F55" s="7" t="s">
        <v>14</v>
      </c>
      <c r="G55" s="7"/>
      <c r="H55" s="7"/>
      <c r="I55" s="33" t="s">
        <v>15</v>
      </c>
      <c r="J55" s="7"/>
      <c r="K55" s="42"/>
      <c r="L55" s="33"/>
      <c r="M55" s="7"/>
      <c r="N55" s="7"/>
      <c r="O55" s="7"/>
      <c r="P55" s="7"/>
      <c r="Q55" s="7"/>
      <c r="R55" s="7"/>
      <c r="S55" s="7"/>
      <c r="T55" s="7"/>
      <c r="U55" s="42"/>
      <c r="V55" s="33" t="s">
        <v>15</v>
      </c>
      <c r="W55" s="7"/>
      <c r="X55" s="7"/>
      <c r="Y55" s="42"/>
      <c r="Z55" s="11" t="s">
        <v>97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>
      <c r="A56" s="9"/>
      <c r="B56" s="6" t="s">
        <v>98</v>
      </c>
      <c r="C56" s="6" t="s">
        <v>13</v>
      </c>
      <c r="D56" s="7"/>
      <c r="E56" s="22">
        <v>2</v>
      </c>
      <c r="F56" s="7" t="s">
        <v>15</v>
      </c>
      <c r="G56" s="7"/>
      <c r="H56" s="7"/>
      <c r="I56" s="33" t="s">
        <v>15</v>
      </c>
      <c r="J56" s="7"/>
      <c r="K56" s="42"/>
      <c r="L56" s="33"/>
      <c r="M56" s="7"/>
      <c r="N56" s="7"/>
      <c r="O56" s="7"/>
      <c r="P56" s="7"/>
      <c r="Q56" s="7"/>
      <c r="R56" s="7"/>
      <c r="S56" s="7"/>
      <c r="T56" s="7"/>
      <c r="U56" s="42"/>
      <c r="V56" s="33" t="s">
        <v>15</v>
      </c>
      <c r="W56" s="7"/>
      <c r="X56" s="7"/>
      <c r="Y56" s="42"/>
      <c r="Z56" s="11" t="s">
        <v>99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>
      <c r="A57" s="9"/>
      <c r="B57" s="6" t="s">
        <v>100</v>
      </c>
      <c r="C57" s="6" t="s">
        <v>13</v>
      </c>
      <c r="D57" s="7"/>
      <c r="E57" s="22">
        <v>1</v>
      </c>
      <c r="F57" s="7" t="s">
        <v>15</v>
      </c>
      <c r="G57" s="7"/>
      <c r="H57" s="7"/>
      <c r="I57" s="33" t="s">
        <v>15</v>
      </c>
      <c r="J57" s="7"/>
      <c r="K57" s="42"/>
      <c r="L57" s="33"/>
      <c r="M57" s="7"/>
      <c r="N57" s="7"/>
      <c r="O57" s="7"/>
      <c r="P57" s="7"/>
      <c r="Q57" s="7"/>
      <c r="R57" s="7"/>
      <c r="S57" s="7"/>
      <c r="T57" s="7"/>
      <c r="U57" s="42"/>
      <c r="V57" s="33" t="s">
        <v>15</v>
      </c>
      <c r="W57" s="7"/>
      <c r="X57" s="7"/>
      <c r="Y57" s="42"/>
      <c r="Z57" s="11" t="s">
        <v>101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>
      <c r="A58" s="9"/>
      <c r="B58" s="6" t="s">
        <v>102</v>
      </c>
      <c r="C58" s="6" t="s">
        <v>22</v>
      </c>
      <c r="D58" s="7"/>
      <c r="E58" s="22">
        <v>2</v>
      </c>
      <c r="F58" s="7" t="s">
        <v>14</v>
      </c>
      <c r="G58" s="7"/>
      <c r="H58" s="7"/>
      <c r="I58" s="33" t="s">
        <v>15</v>
      </c>
      <c r="J58" s="7"/>
      <c r="K58" s="42"/>
      <c r="L58" s="33"/>
      <c r="M58" s="7"/>
      <c r="N58" s="7"/>
      <c r="O58" s="7"/>
      <c r="P58" s="7"/>
      <c r="Q58" s="7"/>
      <c r="R58" s="7"/>
      <c r="S58" s="7" t="s">
        <v>548</v>
      </c>
      <c r="T58" s="7"/>
      <c r="U58" s="42"/>
      <c r="V58" s="33" t="s">
        <v>14</v>
      </c>
      <c r="W58" s="7"/>
      <c r="X58" s="7"/>
      <c r="Y58" s="42"/>
      <c r="Z58" s="11" t="s">
        <v>103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>
      <c r="A59" s="9"/>
      <c r="B59" s="6" t="s">
        <v>104</v>
      </c>
      <c r="C59" s="6" t="s">
        <v>27</v>
      </c>
      <c r="D59" s="7"/>
      <c r="E59" s="22">
        <v>1</v>
      </c>
      <c r="F59" s="62" t="s">
        <v>14</v>
      </c>
      <c r="G59" s="7"/>
      <c r="H59" s="7"/>
      <c r="I59" s="33" t="s">
        <v>15</v>
      </c>
      <c r="J59" s="7"/>
      <c r="K59" s="42"/>
      <c r="L59" s="59"/>
      <c r="M59" s="7"/>
      <c r="N59" s="7"/>
      <c r="O59" s="7"/>
      <c r="P59" s="7"/>
      <c r="Q59" s="7"/>
      <c r="R59" s="7"/>
      <c r="S59" s="7" t="s">
        <v>548</v>
      </c>
      <c r="T59" s="7"/>
      <c r="U59" s="42"/>
      <c r="V59" s="33" t="s">
        <v>15</v>
      </c>
      <c r="W59" s="7"/>
      <c r="X59" s="7"/>
      <c r="Y59" s="42"/>
      <c r="Z59" s="11" t="s">
        <v>257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>
      <c r="A60" s="9"/>
      <c r="B60" s="6" t="s">
        <v>105</v>
      </c>
      <c r="C60" s="6" t="s">
        <v>22</v>
      </c>
      <c r="D60" s="7"/>
      <c r="E60" s="22">
        <v>2</v>
      </c>
      <c r="F60" s="7" t="s">
        <v>15</v>
      </c>
      <c r="G60" s="7"/>
      <c r="H60" s="7"/>
      <c r="I60" s="33" t="s">
        <v>15</v>
      </c>
      <c r="J60" s="7"/>
      <c r="K60" s="42"/>
      <c r="L60" s="33"/>
      <c r="M60" s="7"/>
      <c r="N60" s="7"/>
      <c r="O60" s="7"/>
      <c r="P60" s="7"/>
      <c r="Q60" s="7"/>
      <c r="R60" s="7"/>
      <c r="S60" s="7" t="s">
        <v>548</v>
      </c>
      <c r="T60" s="7"/>
      <c r="U60" s="42"/>
      <c r="V60" s="33" t="s">
        <v>15</v>
      </c>
      <c r="W60" s="7"/>
      <c r="X60" s="7"/>
      <c r="Y60" s="42"/>
      <c r="Z60" s="11" t="s">
        <v>106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>
      <c r="A61" s="9"/>
      <c r="B61" s="6" t="s">
        <v>261</v>
      </c>
      <c r="C61" s="6" t="s">
        <v>27</v>
      </c>
      <c r="D61" s="7"/>
      <c r="E61" s="22">
        <v>1</v>
      </c>
      <c r="F61" s="7"/>
      <c r="G61" s="7"/>
      <c r="H61" s="7"/>
      <c r="I61" s="33"/>
      <c r="J61" s="7"/>
      <c r="K61" s="42"/>
      <c r="L61" s="59"/>
      <c r="M61" s="7"/>
      <c r="N61" s="7"/>
      <c r="O61" s="7"/>
      <c r="P61" s="7"/>
      <c r="Q61" s="7"/>
      <c r="R61" s="7"/>
      <c r="S61" s="7" t="s">
        <v>550</v>
      </c>
      <c r="T61" s="7"/>
      <c r="U61" s="42"/>
      <c r="V61" s="33" t="s">
        <v>15</v>
      </c>
      <c r="W61" s="7"/>
      <c r="X61" s="7"/>
      <c r="Y61" s="42"/>
      <c r="Z61" s="11" t="s">
        <v>262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>
      <c r="A62" s="9"/>
      <c r="B62" s="6" t="s">
        <v>107</v>
      </c>
      <c r="C62" s="6" t="s">
        <v>27</v>
      </c>
      <c r="D62" s="7"/>
      <c r="E62" s="22">
        <f>ROUND(50/(A53*40*1.2),2)</f>
        <v>2.74</v>
      </c>
      <c r="F62" s="7" t="s">
        <v>14</v>
      </c>
      <c r="G62" s="7"/>
      <c r="H62" s="7"/>
      <c r="I62" s="33" t="s">
        <v>15</v>
      </c>
      <c r="J62" s="7"/>
      <c r="K62" s="42"/>
      <c r="L62" s="33"/>
      <c r="M62" s="7"/>
      <c r="N62" s="7"/>
      <c r="O62" s="7"/>
      <c r="P62" s="7"/>
      <c r="Q62" s="7"/>
      <c r="R62" s="7"/>
      <c r="S62" s="7" t="s">
        <v>548</v>
      </c>
      <c r="T62" s="7"/>
      <c r="U62" s="42"/>
      <c r="V62" s="33" t="s">
        <v>15</v>
      </c>
      <c r="W62" s="7"/>
      <c r="X62" s="7"/>
      <c r="Y62" s="42"/>
      <c r="Z62" s="11" t="s">
        <v>108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>
      <c r="A63" s="9"/>
      <c r="B63" s="6" t="s">
        <v>109</v>
      </c>
      <c r="C63" s="6" t="s">
        <v>22</v>
      </c>
      <c r="D63" s="7"/>
      <c r="E63" s="22">
        <v>2</v>
      </c>
      <c r="F63" s="7" t="s">
        <v>15</v>
      </c>
      <c r="G63" s="7"/>
      <c r="H63" s="7"/>
      <c r="I63" s="33" t="s">
        <v>14</v>
      </c>
      <c r="J63" s="7"/>
      <c r="K63" s="42"/>
      <c r="L63" s="33"/>
      <c r="M63" s="7"/>
      <c r="N63" s="7"/>
      <c r="O63" s="7"/>
      <c r="P63" s="7"/>
      <c r="Q63" s="7"/>
      <c r="R63" s="7"/>
      <c r="S63" s="7"/>
      <c r="T63" s="7"/>
      <c r="U63" s="42"/>
      <c r="V63" s="33" t="s">
        <v>15</v>
      </c>
      <c r="W63" s="7"/>
      <c r="X63" s="7"/>
      <c r="Y63" s="42"/>
      <c r="Z63" s="11" t="s">
        <v>110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>
      <c r="A64" s="9"/>
      <c r="B64" s="6" t="s">
        <v>270</v>
      </c>
      <c r="C64" s="6" t="s">
        <v>271</v>
      </c>
      <c r="D64" s="7"/>
      <c r="E64" s="22">
        <v>1.21</v>
      </c>
      <c r="F64" s="7"/>
      <c r="G64" s="7"/>
      <c r="H64" s="7"/>
      <c r="I64" s="33"/>
      <c r="J64" s="7"/>
      <c r="K64" s="42"/>
      <c r="L64" s="33"/>
      <c r="M64" s="7"/>
      <c r="N64" s="7"/>
      <c r="O64" s="7"/>
      <c r="P64" s="7"/>
      <c r="Q64" s="7"/>
      <c r="R64" s="7"/>
      <c r="S64" s="7"/>
      <c r="T64" s="7"/>
      <c r="U64" s="42"/>
      <c r="V64" s="33"/>
      <c r="W64" s="7"/>
      <c r="X64" s="7"/>
      <c r="Y64" s="42"/>
      <c r="Z64" s="11" t="s">
        <v>272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A65" s="9"/>
      <c r="B65" s="6" t="s">
        <v>509</v>
      </c>
      <c r="C65" s="6" t="s">
        <v>542</v>
      </c>
      <c r="D65" s="7"/>
      <c r="E65" s="22">
        <v>1</v>
      </c>
      <c r="F65" s="7"/>
      <c r="G65" s="7"/>
      <c r="H65" s="7"/>
      <c r="I65" s="33"/>
      <c r="J65" s="7"/>
      <c r="K65" s="42"/>
      <c r="L65" s="33"/>
      <c r="M65" s="7"/>
      <c r="N65" s="7"/>
      <c r="O65" s="7"/>
      <c r="P65" s="7"/>
      <c r="Q65" s="7" t="s">
        <v>548</v>
      </c>
      <c r="R65" s="7"/>
      <c r="S65" s="7" t="s">
        <v>548</v>
      </c>
      <c r="T65" s="7" t="s">
        <v>548</v>
      </c>
      <c r="U65" s="42"/>
      <c r="V65" s="33"/>
      <c r="W65" s="7"/>
      <c r="X65" s="7"/>
      <c r="Y65" s="42"/>
      <c r="Z65" s="1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A66" s="9"/>
      <c r="B66" s="6" t="s">
        <v>111</v>
      </c>
      <c r="C66" s="6" t="s">
        <v>13</v>
      </c>
      <c r="D66" s="7"/>
      <c r="E66" s="22">
        <v>1.67</v>
      </c>
      <c r="F66" s="7" t="s">
        <v>15</v>
      </c>
      <c r="G66" s="7"/>
      <c r="H66" s="7"/>
      <c r="I66" s="33" t="s">
        <v>15</v>
      </c>
      <c r="J66" s="7"/>
      <c r="K66" s="42"/>
      <c r="L66" s="33"/>
      <c r="M66" s="7"/>
      <c r="N66" s="7"/>
      <c r="O66" s="7"/>
      <c r="P66" s="7"/>
      <c r="Q66" s="7"/>
      <c r="R66" s="7"/>
      <c r="S66" s="7"/>
      <c r="T66" s="7"/>
      <c r="U66" s="42"/>
      <c r="V66" s="33" t="s">
        <v>14</v>
      </c>
      <c r="W66" s="7"/>
      <c r="X66" s="7"/>
      <c r="Y66" s="42"/>
      <c r="Z66" s="1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A67" s="9"/>
      <c r="B67" s="6"/>
      <c r="C67" s="6"/>
      <c r="D67" s="7"/>
      <c r="E67" s="22"/>
      <c r="F67" s="7"/>
      <c r="G67" s="7"/>
      <c r="H67" s="7"/>
      <c r="I67" s="33"/>
      <c r="J67" s="7"/>
      <c r="K67" s="42"/>
      <c r="L67" s="33"/>
      <c r="M67" s="7"/>
      <c r="N67" s="7"/>
      <c r="O67" s="7"/>
      <c r="P67" s="7"/>
      <c r="Q67" s="7"/>
      <c r="R67" s="7"/>
      <c r="S67" s="7"/>
      <c r="T67" s="7"/>
      <c r="U67" s="42"/>
      <c r="V67" s="33"/>
      <c r="W67" s="7"/>
      <c r="X67" s="7"/>
      <c r="Y67" s="42"/>
      <c r="Z67" s="114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A68" s="15"/>
      <c r="B68" s="16" t="s">
        <v>112</v>
      </c>
      <c r="C68" s="16" t="s">
        <v>27</v>
      </c>
      <c r="D68" s="116"/>
      <c r="E68" s="17">
        <v>1.39</v>
      </c>
      <c r="F68" s="7" t="s">
        <v>14</v>
      </c>
      <c r="G68" s="7"/>
      <c r="H68" s="7"/>
      <c r="I68" s="59" t="s">
        <v>15</v>
      </c>
      <c r="J68" s="7"/>
      <c r="K68" s="42"/>
      <c r="L68" s="59"/>
      <c r="M68" s="7"/>
      <c r="N68" s="7"/>
      <c r="O68" s="7"/>
      <c r="P68" s="7"/>
      <c r="Q68" s="7"/>
      <c r="R68" s="7"/>
      <c r="S68" s="7"/>
      <c r="T68" s="7"/>
      <c r="U68" s="42"/>
      <c r="V68" s="33" t="s">
        <v>15</v>
      </c>
      <c r="W68" s="7"/>
      <c r="X68" s="7"/>
      <c r="Y68" s="42"/>
      <c r="Z68" s="71" t="s">
        <v>187</v>
      </c>
      <c r="AA68" s="18"/>
      <c r="AB68" s="19"/>
      <c r="AC68" s="19"/>
      <c r="AD68" s="19"/>
      <c r="AE68" s="19"/>
      <c r="AF68" s="19"/>
      <c r="AG68" s="1"/>
      <c r="AH68" s="1"/>
      <c r="AI68" s="1"/>
      <c r="AJ68" s="1"/>
    </row>
    <row r="69" spans="1:36" ht="15.75" customHeight="1">
      <c r="A69" s="9"/>
      <c r="B69" s="6" t="s">
        <v>113</v>
      </c>
      <c r="C69" s="6" t="s">
        <v>22</v>
      </c>
      <c r="D69" s="7"/>
      <c r="E69" s="22">
        <v>1</v>
      </c>
      <c r="F69" s="7" t="s">
        <v>14</v>
      </c>
      <c r="G69" s="7"/>
      <c r="H69" s="7"/>
      <c r="I69" s="59" t="s">
        <v>15</v>
      </c>
      <c r="J69" s="7"/>
      <c r="K69" s="42"/>
      <c r="L69" s="59"/>
      <c r="M69" s="7"/>
      <c r="N69" s="7"/>
      <c r="O69" s="7"/>
      <c r="P69" s="7"/>
      <c r="Q69" s="7"/>
      <c r="R69" s="7"/>
      <c r="S69" s="7"/>
      <c r="T69" s="7"/>
      <c r="U69" s="42"/>
      <c r="V69" s="33" t="s">
        <v>15</v>
      </c>
      <c r="W69" s="7"/>
      <c r="X69" s="7"/>
      <c r="Y69" s="42"/>
      <c r="Z69" s="20" t="s">
        <v>114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9"/>
      <c r="B70" s="6" t="s">
        <v>115</v>
      </c>
      <c r="C70" s="6" t="s">
        <v>22</v>
      </c>
      <c r="D70" s="7"/>
      <c r="E70" s="22">
        <v>2.5</v>
      </c>
      <c r="F70" s="7" t="s">
        <v>15</v>
      </c>
      <c r="G70" s="7"/>
      <c r="H70" s="7"/>
      <c r="I70" s="33" t="s">
        <v>15</v>
      </c>
      <c r="J70" s="7"/>
      <c r="K70" s="42"/>
      <c r="L70" s="33"/>
      <c r="M70" s="7"/>
      <c r="N70" s="7"/>
      <c r="O70" s="7"/>
      <c r="P70" s="7"/>
      <c r="Q70" s="7"/>
      <c r="R70" s="7"/>
      <c r="S70" s="7"/>
      <c r="T70" s="7"/>
      <c r="U70" s="42"/>
      <c r="V70" s="33" t="s">
        <v>15</v>
      </c>
      <c r="W70" s="7"/>
      <c r="X70" s="7"/>
      <c r="Y70" s="42"/>
      <c r="Z70" s="8" t="s">
        <v>18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9"/>
      <c r="B71" s="6" t="s">
        <v>116</v>
      </c>
      <c r="C71" s="6" t="s">
        <v>22</v>
      </c>
      <c r="D71" s="7"/>
      <c r="E71" s="22">
        <v>2.5</v>
      </c>
      <c r="F71" s="7" t="s">
        <v>15</v>
      </c>
      <c r="G71" s="7"/>
      <c r="H71" s="7"/>
      <c r="I71" s="33" t="s">
        <v>15</v>
      </c>
      <c r="J71" s="7"/>
      <c r="K71" s="42"/>
      <c r="L71" s="33"/>
      <c r="M71" s="7"/>
      <c r="N71" s="7"/>
      <c r="O71" s="7"/>
      <c r="P71" s="7"/>
      <c r="Q71" s="7"/>
      <c r="R71" s="7"/>
      <c r="S71" s="7"/>
      <c r="T71" s="7"/>
      <c r="U71" s="42"/>
      <c r="V71" s="33" t="s">
        <v>15</v>
      </c>
      <c r="W71" s="7"/>
      <c r="X71" s="7"/>
      <c r="Y71" s="42"/>
      <c r="Z71" s="11" t="s">
        <v>117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13"/>
      <c r="B72" s="122" t="s">
        <v>49</v>
      </c>
      <c r="C72" s="123"/>
      <c r="D72" s="133"/>
      <c r="E72" s="124"/>
      <c r="F72" s="14">
        <f t="shared" ref="F72:I72" si="2">COUNTIF(F51:F71,"○")</f>
        <v>8</v>
      </c>
      <c r="G72" s="31"/>
      <c r="H72" s="31"/>
      <c r="I72" s="34">
        <f t="shared" si="2"/>
        <v>1</v>
      </c>
      <c r="J72" s="31"/>
      <c r="K72" s="46"/>
      <c r="L72" s="34"/>
      <c r="M72" s="30"/>
      <c r="N72" s="30"/>
      <c r="O72" s="30"/>
      <c r="P72" s="30"/>
      <c r="Q72" s="30"/>
      <c r="R72" s="30"/>
      <c r="S72" s="30"/>
      <c r="T72" s="30"/>
      <c r="U72" s="46"/>
      <c r="V72" s="34"/>
      <c r="W72" s="31"/>
      <c r="X72" s="30"/>
      <c r="Y72" s="46"/>
      <c r="Z72" s="70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5" t="s">
        <v>118</v>
      </c>
      <c r="B73" s="6" t="s">
        <v>119</v>
      </c>
      <c r="C73" s="6" t="s">
        <v>13</v>
      </c>
      <c r="D73" s="7"/>
      <c r="E73" s="22" t="s">
        <v>15</v>
      </c>
      <c r="F73" s="7" t="s">
        <v>15</v>
      </c>
      <c r="G73" s="7"/>
      <c r="H73" s="7"/>
      <c r="I73" s="33" t="s">
        <v>15</v>
      </c>
      <c r="J73" s="7"/>
      <c r="K73" s="42"/>
      <c r="L73" s="33"/>
      <c r="M73" s="7"/>
      <c r="N73" s="7"/>
      <c r="O73" s="7"/>
      <c r="P73" s="7"/>
      <c r="Q73" s="7"/>
      <c r="R73" s="7"/>
      <c r="S73" s="7"/>
      <c r="T73" s="7"/>
      <c r="U73" s="42"/>
      <c r="V73" s="33" t="s">
        <v>15</v>
      </c>
      <c r="W73" s="7"/>
      <c r="X73" s="7"/>
      <c r="Y73" s="42"/>
      <c r="Z73" s="11" t="s">
        <v>120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9"/>
      <c r="B74" s="6" t="s">
        <v>121</v>
      </c>
      <c r="C74" s="6" t="s">
        <v>27</v>
      </c>
      <c r="D74" s="7"/>
      <c r="E74" s="22">
        <v>2</v>
      </c>
      <c r="F74" s="61" t="s">
        <v>15</v>
      </c>
      <c r="G74" s="7"/>
      <c r="H74" s="7"/>
      <c r="I74" s="63" t="s">
        <v>15</v>
      </c>
      <c r="J74" s="7"/>
      <c r="K74" s="42"/>
      <c r="L74" s="33"/>
      <c r="M74" s="7"/>
      <c r="N74" s="7"/>
      <c r="O74" s="7"/>
      <c r="P74" s="7"/>
      <c r="Q74" s="7"/>
      <c r="R74" s="7"/>
      <c r="S74" s="7"/>
      <c r="T74" s="7"/>
      <c r="U74" s="42"/>
      <c r="V74" s="33" t="s">
        <v>15</v>
      </c>
      <c r="W74" s="7"/>
      <c r="X74" s="7"/>
      <c r="Y74" s="42"/>
      <c r="Z74" s="11" t="s">
        <v>122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9"/>
      <c r="B75" s="6" t="s">
        <v>123</v>
      </c>
      <c r="C75" s="6" t="s">
        <v>22</v>
      </c>
      <c r="D75" s="7"/>
      <c r="E75" s="22">
        <v>3</v>
      </c>
      <c r="F75" s="61" t="s">
        <v>15</v>
      </c>
      <c r="G75" s="7"/>
      <c r="H75" s="7"/>
      <c r="I75" s="33" t="s">
        <v>15</v>
      </c>
      <c r="J75" s="7"/>
      <c r="K75" s="42"/>
      <c r="L75" s="33"/>
      <c r="M75" s="7"/>
      <c r="N75" s="7"/>
      <c r="O75" s="7"/>
      <c r="P75" s="7"/>
      <c r="Q75" s="7"/>
      <c r="R75" s="7"/>
      <c r="S75" s="7"/>
      <c r="T75" s="7"/>
      <c r="U75" s="42"/>
      <c r="V75" s="33" t="s">
        <v>15</v>
      </c>
      <c r="W75" s="7"/>
      <c r="X75" s="7"/>
      <c r="Y75" s="42"/>
      <c r="Z75" s="11" t="s">
        <v>124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9"/>
      <c r="B76" s="6" t="s">
        <v>248</v>
      </c>
      <c r="C76" s="6" t="s">
        <v>22</v>
      </c>
      <c r="D76" s="7"/>
      <c r="E76" s="22">
        <v>2</v>
      </c>
      <c r="F76" s="61" t="s">
        <v>15</v>
      </c>
      <c r="G76" s="7"/>
      <c r="H76" s="7"/>
      <c r="I76" s="33" t="s">
        <v>14</v>
      </c>
      <c r="J76" s="7"/>
      <c r="K76" s="42"/>
      <c r="L76" s="59"/>
      <c r="M76" s="7"/>
      <c r="N76" s="7"/>
      <c r="O76" s="7"/>
      <c r="P76" s="7"/>
      <c r="Q76" s="7"/>
      <c r="R76" s="7"/>
      <c r="S76" s="7" t="s">
        <v>550</v>
      </c>
      <c r="T76" s="7"/>
      <c r="U76" s="42"/>
      <c r="V76" s="33" t="s">
        <v>15</v>
      </c>
      <c r="W76" s="7"/>
      <c r="X76" s="7"/>
      <c r="Y76" s="42"/>
      <c r="Z76" s="11" t="s">
        <v>250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9"/>
      <c r="B77" s="6" t="s">
        <v>125</v>
      </c>
      <c r="C77" s="6" t="s">
        <v>22</v>
      </c>
      <c r="D77" s="7"/>
      <c r="E77" s="22">
        <v>2</v>
      </c>
      <c r="F77" s="7" t="s">
        <v>15</v>
      </c>
      <c r="G77" s="7"/>
      <c r="H77" s="7"/>
      <c r="I77" s="33" t="s">
        <v>15</v>
      </c>
      <c r="J77" s="7"/>
      <c r="K77" s="42"/>
      <c r="L77" s="33"/>
      <c r="M77" s="7"/>
      <c r="N77" s="7"/>
      <c r="O77" s="7"/>
      <c r="P77" s="7"/>
      <c r="Q77" s="7"/>
      <c r="R77" s="7"/>
      <c r="S77" s="7" t="s">
        <v>548</v>
      </c>
      <c r="T77" s="7"/>
      <c r="U77" s="42"/>
      <c r="V77" s="33" t="s">
        <v>15</v>
      </c>
      <c r="W77" s="7"/>
      <c r="X77" s="7"/>
      <c r="Y77" s="42"/>
      <c r="Z77" s="11" t="s">
        <v>126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9"/>
      <c r="B78" s="6" t="s">
        <v>127</v>
      </c>
      <c r="C78" s="6" t="s">
        <v>22</v>
      </c>
      <c r="D78" s="7"/>
      <c r="E78" s="22">
        <v>3</v>
      </c>
      <c r="F78" s="7" t="s">
        <v>15</v>
      </c>
      <c r="G78" s="7"/>
      <c r="H78" s="7"/>
      <c r="I78" s="33" t="s">
        <v>15</v>
      </c>
      <c r="J78" s="7"/>
      <c r="K78" s="42"/>
      <c r="L78" s="33"/>
      <c r="M78" s="7"/>
      <c r="N78" s="7"/>
      <c r="O78" s="7"/>
      <c r="P78" s="7"/>
      <c r="Q78" s="7"/>
      <c r="R78" s="7"/>
      <c r="S78" s="7" t="s">
        <v>548</v>
      </c>
      <c r="T78" s="7"/>
      <c r="U78" s="42"/>
      <c r="V78" s="33" t="s">
        <v>15</v>
      </c>
      <c r="W78" s="7"/>
      <c r="X78" s="7"/>
      <c r="Y78" s="42"/>
      <c r="Z78" s="11" t="s">
        <v>128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9"/>
      <c r="B79" s="6" t="s">
        <v>129</v>
      </c>
      <c r="C79" s="6" t="s">
        <v>13</v>
      </c>
      <c r="D79" s="7"/>
      <c r="E79" s="22">
        <v>2</v>
      </c>
      <c r="F79" s="7" t="s">
        <v>15</v>
      </c>
      <c r="G79" s="7"/>
      <c r="H79" s="7"/>
      <c r="I79" s="33" t="s">
        <v>14</v>
      </c>
      <c r="J79" s="7"/>
      <c r="K79" s="42"/>
      <c r="L79" s="33"/>
      <c r="M79" s="7"/>
      <c r="N79" s="7"/>
      <c r="O79" s="7"/>
      <c r="P79" s="7"/>
      <c r="Q79" s="7"/>
      <c r="R79" s="7"/>
      <c r="S79" s="7"/>
      <c r="T79" s="7"/>
      <c r="U79" s="42"/>
      <c r="V79" s="33" t="s">
        <v>15</v>
      </c>
      <c r="W79" s="7"/>
      <c r="X79" s="7"/>
      <c r="Y79" s="42"/>
      <c r="Z79" s="11" t="s">
        <v>130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9"/>
      <c r="B80" s="6" t="s">
        <v>273</v>
      </c>
      <c r="C80" s="6" t="s">
        <v>274</v>
      </c>
      <c r="D80" s="7"/>
      <c r="E80" s="22">
        <v>1</v>
      </c>
      <c r="F80" s="7"/>
      <c r="G80" s="7"/>
      <c r="H80" s="7"/>
      <c r="I80" s="33"/>
      <c r="J80" s="7"/>
      <c r="K80" s="42"/>
      <c r="L80" s="33"/>
      <c r="M80" s="7"/>
      <c r="N80" s="7"/>
      <c r="O80" s="7"/>
      <c r="P80" s="7"/>
      <c r="Q80" s="7"/>
      <c r="R80" s="7"/>
      <c r="S80" s="7"/>
      <c r="T80" s="7"/>
      <c r="U80" s="42"/>
      <c r="V80" s="33"/>
      <c r="W80" s="7"/>
      <c r="X80" s="7"/>
      <c r="Y80" s="42"/>
      <c r="Z80" s="11" t="s">
        <v>275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9"/>
      <c r="B81" s="6" t="s">
        <v>131</v>
      </c>
      <c r="C81" s="6" t="s">
        <v>27</v>
      </c>
      <c r="D81" s="7"/>
      <c r="E81" s="22">
        <v>2</v>
      </c>
      <c r="F81" s="60" t="s">
        <v>15</v>
      </c>
      <c r="G81" s="7"/>
      <c r="H81" s="7"/>
      <c r="I81" s="33" t="s">
        <v>14</v>
      </c>
      <c r="J81" s="7"/>
      <c r="K81" s="42"/>
      <c r="L81" s="59"/>
      <c r="M81" s="7"/>
      <c r="N81" s="7"/>
      <c r="O81" s="7"/>
      <c r="P81" s="7"/>
      <c r="Q81" s="7" t="s">
        <v>550</v>
      </c>
      <c r="R81" s="7"/>
      <c r="S81" s="7" t="s">
        <v>550</v>
      </c>
      <c r="T81" s="7"/>
      <c r="U81" s="42"/>
      <c r="V81" s="33" t="s">
        <v>15</v>
      </c>
      <c r="W81" s="7"/>
      <c r="X81" s="7"/>
      <c r="Y81" s="42"/>
      <c r="Z81" s="11" t="s">
        <v>185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>
      <c r="A82" s="9"/>
      <c r="B82" s="6" t="s">
        <v>253</v>
      </c>
      <c r="C82" s="6" t="s">
        <v>27</v>
      </c>
      <c r="D82" s="7"/>
      <c r="E82" s="22">
        <v>2</v>
      </c>
      <c r="F82" s="60"/>
      <c r="G82" s="7"/>
      <c r="H82" s="7"/>
      <c r="I82" s="63" t="s">
        <v>14</v>
      </c>
      <c r="J82" s="7"/>
      <c r="K82" s="42"/>
      <c r="L82" s="59"/>
      <c r="M82" s="7"/>
      <c r="N82" s="7"/>
      <c r="O82" s="7"/>
      <c r="P82" s="7"/>
      <c r="Q82" s="7" t="s">
        <v>550</v>
      </c>
      <c r="R82" s="7"/>
      <c r="S82" s="7" t="s">
        <v>550</v>
      </c>
      <c r="T82" s="7"/>
      <c r="U82" s="42"/>
      <c r="V82" s="33" t="s">
        <v>15</v>
      </c>
      <c r="W82" s="7"/>
      <c r="X82" s="7"/>
      <c r="Y82" s="42"/>
      <c r="Z82" s="11" t="s">
        <v>254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>
      <c r="A83" s="9"/>
      <c r="B83" s="6" t="s">
        <v>132</v>
      </c>
      <c r="C83" s="6" t="s">
        <v>13</v>
      </c>
      <c r="D83" s="7"/>
      <c r="E83" s="22">
        <v>1.67</v>
      </c>
      <c r="F83" s="60" t="s">
        <v>15</v>
      </c>
      <c r="G83" s="7"/>
      <c r="H83" s="7"/>
      <c r="I83" s="33" t="s">
        <v>14</v>
      </c>
      <c r="J83" s="7"/>
      <c r="K83" s="42"/>
      <c r="L83" s="33"/>
      <c r="M83" s="7"/>
      <c r="N83" s="7"/>
      <c r="O83" s="7"/>
      <c r="P83" s="7"/>
      <c r="Q83" s="7" t="s">
        <v>550</v>
      </c>
      <c r="R83" s="7"/>
      <c r="S83" s="7" t="s">
        <v>548</v>
      </c>
      <c r="T83" s="7"/>
      <c r="U83" s="42"/>
      <c r="V83" s="33" t="s">
        <v>15</v>
      </c>
      <c r="W83" s="7"/>
      <c r="X83" s="7"/>
      <c r="Y83" s="42"/>
      <c r="Z83" s="11" t="s">
        <v>133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>
      <c r="A84" s="13"/>
      <c r="B84" s="122" t="s">
        <v>49</v>
      </c>
      <c r="C84" s="123"/>
      <c r="D84" s="133"/>
      <c r="E84" s="124"/>
      <c r="F84" s="14">
        <f t="shared" ref="F84:I84" si="3">COUNTIF(F73:F83,"○")</f>
        <v>0</v>
      </c>
      <c r="G84" s="31"/>
      <c r="H84" s="31"/>
      <c r="I84" s="34">
        <f t="shared" si="3"/>
        <v>5</v>
      </c>
      <c r="J84" s="31"/>
      <c r="K84" s="46"/>
      <c r="L84" s="34"/>
      <c r="M84" s="30"/>
      <c r="N84" s="30"/>
      <c r="O84" s="30"/>
      <c r="P84" s="30"/>
      <c r="Q84" s="30"/>
      <c r="R84" s="30"/>
      <c r="S84" s="30"/>
      <c r="T84" s="30"/>
      <c r="U84" s="46"/>
      <c r="V84" s="34"/>
      <c r="W84" s="31"/>
      <c r="X84" s="30"/>
      <c r="Y84" s="46"/>
      <c r="Z84" s="70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>
      <c r="A85" s="5" t="s">
        <v>134</v>
      </c>
      <c r="B85" s="6" t="s">
        <v>135</v>
      </c>
      <c r="C85" s="6" t="s">
        <v>22</v>
      </c>
      <c r="D85" s="7"/>
      <c r="E85" s="22">
        <v>3</v>
      </c>
      <c r="F85" s="60" t="s">
        <v>15</v>
      </c>
      <c r="G85" s="7"/>
      <c r="H85" s="7"/>
      <c r="I85" s="59" t="s">
        <v>15</v>
      </c>
      <c r="J85" s="7"/>
      <c r="K85" s="42"/>
      <c r="L85" s="59"/>
      <c r="M85" s="7"/>
      <c r="N85" s="7"/>
      <c r="O85" s="7"/>
      <c r="P85" s="7"/>
      <c r="Q85" s="7"/>
      <c r="R85" s="7"/>
      <c r="S85" s="7" t="s">
        <v>548</v>
      </c>
      <c r="T85" s="7"/>
      <c r="U85" s="42"/>
      <c r="V85" s="33" t="s">
        <v>15</v>
      </c>
      <c r="W85" s="7"/>
      <c r="X85" s="7"/>
      <c r="Y85" s="42"/>
      <c r="Z85" s="1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>
      <c r="A86" s="15"/>
      <c r="B86" s="6" t="s">
        <v>136</v>
      </c>
      <c r="C86" s="6" t="s">
        <v>22</v>
      </c>
      <c r="D86" s="7"/>
      <c r="E86" s="22">
        <v>1</v>
      </c>
      <c r="F86" s="7" t="s">
        <v>14</v>
      </c>
      <c r="G86" s="7"/>
      <c r="H86" s="7"/>
      <c r="I86" s="33" t="s">
        <v>15</v>
      </c>
      <c r="J86" s="7"/>
      <c r="K86" s="42"/>
      <c r="L86" s="33"/>
      <c r="M86" s="7"/>
      <c r="N86" s="7"/>
      <c r="O86" s="7"/>
      <c r="P86" s="7"/>
      <c r="Q86" s="7"/>
      <c r="R86" s="7"/>
      <c r="S86" s="7" t="s">
        <v>548</v>
      </c>
      <c r="T86" s="7"/>
      <c r="U86" s="42"/>
      <c r="V86" s="33" t="s">
        <v>15</v>
      </c>
      <c r="W86" s="7"/>
      <c r="X86" s="7"/>
      <c r="Y86" s="42"/>
      <c r="Z86" s="21"/>
      <c r="AA86" s="1"/>
      <c r="AB86" s="19"/>
      <c r="AC86" s="19"/>
      <c r="AD86" s="19"/>
      <c r="AE86" s="19"/>
      <c r="AF86" s="19"/>
      <c r="AG86" s="19"/>
      <c r="AH86" s="19"/>
      <c r="AI86" s="19"/>
      <c r="AJ86" s="19"/>
    </row>
    <row r="87" spans="1:36" ht="15.75" customHeight="1">
      <c r="A87" s="9"/>
      <c r="B87" s="6" t="s">
        <v>137</v>
      </c>
      <c r="C87" s="6" t="s">
        <v>13</v>
      </c>
      <c r="D87" s="7"/>
      <c r="E87" s="22">
        <v>3</v>
      </c>
      <c r="F87" s="7" t="s">
        <v>14</v>
      </c>
      <c r="G87" s="7"/>
      <c r="H87" s="7"/>
      <c r="I87" s="33" t="s">
        <v>15</v>
      </c>
      <c r="J87" s="7"/>
      <c r="K87" s="42"/>
      <c r="L87" s="33"/>
      <c r="M87" s="7"/>
      <c r="N87" s="7"/>
      <c r="O87" s="7"/>
      <c r="P87" s="7"/>
      <c r="Q87" s="7"/>
      <c r="R87" s="7"/>
      <c r="S87" s="7"/>
      <c r="T87" s="7"/>
      <c r="U87" s="42"/>
      <c r="V87" s="33" t="s">
        <v>15</v>
      </c>
      <c r="W87" s="7"/>
      <c r="X87" s="7"/>
      <c r="Y87" s="42"/>
      <c r="Z87" s="11" t="s">
        <v>138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>
      <c r="A88" s="9"/>
      <c r="B88" s="6" t="s">
        <v>139</v>
      </c>
      <c r="C88" s="6" t="s">
        <v>13</v>
      </c>
      <c r="D88" s="7"/>
      <c r="E88" s="22">
        <v>3</v>
      </c>
      <c r="F88" s="7" t="s">
        <v>14</v>
      </c>
      <c r="G88" s="7"/>
      <c r="H88" s="7"/>
      <c r="I88" s="33" t="s">
        <v>15</v>
      </c>
      <c r="J88" s="7"/>
      <c r="K88" s="42"/>
      <c r="L88" s="33"/>
      <c r="M88" s="7"/>
      <c r="N88" s="7"/>
      <c r="O88" s="7"/>
      <c r="P88" s="7"/>
      <c r="Q88" s="7"/>
      <c r="R88" s="7"/>
      <c r="S88" s="7" t="s">
        <v>548</v>
      </c>
      <c r="T88" s="7"/>
      <c r="U88" s="42"/>
      <c r="V88" s="33" t="s">
        <v>15</v>
      </c>
      <c r="W88" s="7"/>
      <c r="X88" s="7"/>
      <c r="Y88" s="42"/>
      <c r="Z88" s="11" t="s">
        <v>188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>
      <c r="A89" s="9"/>
      <c r="B89" s="6" t="s">
        <v>140</v>
      </c>
      <c r="C89" s="6" t="s">
        <v>13</v>
      </c>
      <c r="D89" s="7"/>
      <c r="E89" s="22">
        <v>3</v>
      </c>
      <c r="F89" s="7" t="s">
        <v>14</v>
      </c>
      <c r="G89" s="7"/>
      <c r="H89" s="7"/>
      <c r="I89" s="33" t="s">
        <v>15</v>
      </c>
      <c r="J89" s="7"/>
      <c r="K89" s="42"/>
      <c r="L89" s="33"/>
      <c r="M89" s="7"/>
      <c r="N89" s="7"/>
      <c r="O89" s="7"/>
      <c r="P89" s="7"/>
      <c r="Q89" s="7"/>
      <c r="R89" s="7"/>
      <c r="S89" s="7" t="s">
        <v>548</v>
      </c>
      <c r="T89" s="7"/>
      <c r="U89" s="42"/>
      <c r="V89" s="33" t="s">
        <v>15</v>
      </c>
      <c r="W89" s="7"/>
      <c r="X89" s="7"/>
      <c r="Y89" s="42"/>
      <c r="Z89" s="11" t="s">
        <v>141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>
      <c r="A90" s="9"/>
      <c r="B90" s="6" t="s">
        <v>142</v>
      </c>
      <c r="C90" s="6" t="s">
        <v>13</v>
      </c>
      <c r="D90" s="7"/>
      <c r="E90" s="22">
        <v>2.78</v>
      </c>
      <c r="F90" s="7" t="s">
        <v>15</v>
      </c>
      <c r="G90" s="7"/>
      <c r="H90" s="7"/>
      <c r="I90" s="33" t="s">
        <v>15</v>
      </c>
      <c r="J90" s="7"/>
      <c r="K90" s="42"/>
      <c r="L90" s="33"/>
      <c r="M90" s="7"/>
      <c r="N90" s="7"/>
      <c r="O90" s="7"/>
      <c r="P90" s="7"/>
      <c r="Q90" s="7"/>
      <c r="R90" s="7"/>
      <c r="S90" s="7" t="s">
        <v>548</v>
      </c>
      <c r="T90" s="7"/>
      <c r="U90" s="42"/>
      <c r="V90" s="33" t="s">
        <v>15</v>
      </c>
      <c r="W90" s="7"/>
      <c r="X90" s="7"/>
      <c r="Y90" s="42"/>
      <c r="Z90" s="11" t="s">
        <v>143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>
      <c r="A91" s="9"/>
      <c r="B91" s="6" t="s">
        <v>144</v>
      </c>
      <c r="C91" s="6" t="s">
        <v>13</v>
      </c>
      <c r="D91" s="7"/>
      <c r="E91" s="22">
        <v>2.5</v>
      </c>
      <c r="F91" s="7" t="s">
        <v>14</v>
      </c>
      <c r="G91" s="7"/>
      <c r="H91" s="7"/>
      <c r="I91" s="33" t="s">
        <v>15</v>
      </c>
      <c r="J91" s="7"/>
      <c r="K91" s="42"/>
      <c r="L91" s="33"/>
      <c r="M91" s="7"/>
      <c r="N91" s="7"/>
      <c r="O91" s="7"/>
      <c r="P91" s="7"/>
      <c r="Q91" s="7"/>
      <c r="R91" s="7"/>
      <c r="S91" s="7"/>
      <c r="T91" s="7"/>
      <c r="U91" s="42"/>
      <c r="V91" s="33" t="s">
        <v>15</v>
      </c>
      <c r="W91" s="7"/>
      <c r="X91" s="7"/>
      <c r="Y91" s="42"/>
      <c r="Z91" s="11" t="s">
        <v>145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>
      <c r="A92" s="9"/>
      <c r="B92" s="6" t="s">
        <v>146</v>
      </c>
      <c r="C92" s="6" t="s">
        <v>13</v>
      </c>
      <c r="D92" s="7"/>
      <c r="E92" s="22">
        <v>2.5</v>
      </c>
      <c r="F92" s="7" t="s">
        <v>15</v>
      </c>
      <c r="G92" s="7"/>
      <c r="H92" s="7"/>
      <c r="I92" s="58" t="s">
        <v>14</v>
      </c>
      <c r="J92" s="7"/>
      <c r="K92" s="42"/>
      <c r="L92" s="33"/>
      <c r="M92" s="7"/>
      <c r="N92" s="7"/>
      <c r="O92" s="7"/>
      <c r="P92" s="7"/>
      <c r="Q92" s="7" t="s">
        <v>548</v>
      </c>
      <c r="R92" s="7"/>
      <c r="S92" s="7" t="s">
        <v>548</v>
      </c>
      <c r="T92" s="7"/>
      <c r="U92" s="42"/>
      <c r="V92" s="33" t="s">
        <v>15</v>
      </c>
      <c r="W92" s="7"/>
      <c r="X92" s="7"/>
      <c r="Y92" s="42"/>
      <c r="Z92" s="11" t="s">
        <v>147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>
      <c r="A93" s="9"/>
      <c r="B93" s="6" t="s">
        <v>148</v>
      </c>
      <c r="C93" s="6" t="s">
        <v>13</v>
      </c>
      <c r="D93" s="7"/>
      <c r="E93" s="22">
        <v>2.08</v>
      </c>
      <c r="F93" s="7" t="s">
        <v>14</v>
      </c>
      <c r="G93" s="7"/>
      <c r="H93" s="7"/>
      <c r="I93" s="33" t="s">
        <v>15</v>
      </c>
      <c r="J93" s="7"/>
      <c r="K93" s="42"/>
      <c r="L93" s="33"/>
      <c r="M93" s="7"/>
      <c r="N93" s="7"/>
      <c r="O93" s="7"/>
      <c r="P93" s="7"/>
      <c r="Q93" s="7" t="s">
        <v>548</v>
      </c>
      <c r="R93" s="7"/>
      <c r="S93" s="7" t="s">
        <v>548</v>
      </c>
      <c r="T93" s="7"/>
      <c r="U93" s="42"/>
      <c r="V93" s="33" t="s">
        <v>14</v>
      </c>
      <c r="W93" s="7"/>
      <c r="X93" s="7"/>
      <c r="Y93" s="42"/>
      <c r="Z93" s="11" t="s">
        <v>149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>
      <c r="A94" s="9"/>
      <c r="B94" s="6" t="s">
        <v>150</v>
      </c>
      <c r="C94" s="6" t="s">
        <v>27</v>
      </c>
      <c r="D94" s="7"/>
      <c r="E94" s="22">
        <v>3.29</v>
      </c>
      <c r="F94" s="7" t="s">
        <v>14</v>
      </c>
      <c r="G94" s="7"/>
      <c r="H94" s="7"/>
      <c r="I94" s="59" t="s">
        <v>15</v>
      </c>
      <c r="J94" s="7"/>
      <c r="K94" s="42"/>
      <c r="L94" s="59"/>
      <c r="M94" s="7"/>
      <c r="N94" s="7"/>
      <c r="O94" s="7"/>
      <c r="P94" s="7"/>
      <c r="Q94" s="7"/>
      <c r="R94" s="7"/>
      <c r="S94" s="7" t="s">
        <v>548</v>
      </c>
      <c r="T94" s="7"/>
      <c r="U94" s="42"/>
      <c r="V94" s="33" t="s">
        <v>15</v>
      </c>
      <c r="W94" s="7"/>
      <c r="X94" s="7"/>
      <c r="Y94" s="42"/>
      <c r="Z94" s="11" t="s">
        <v>151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>
      <c r="A95" s="9"/>
      <c r="B95" s="6" t="s">
        <v>152</v>
      </c>
      <c r="C95" s="6" t="s">
        <v>22</v>
      </c>
      <c r="D95" s="7"/>
      <c r="E95" s="22">
        <v>3</v>
      </c>
      <c r="F95" s="7" t="s">
        <v>14</v>
      </c>
      <c r="G95" s="7"/>
      <c r="H95" s="7"/>
      <c r="I95" s="33" t="s">
        <v>15</v>
      </c>
      <c r="J95" s="7"/>
      <c r="K95" s="42"/>
      <c r="L95" s="33"/>
      <c r="M95" s="7"/>
      <c r="N95" s="7"/>
      <c r="O95" s="7"/>
      <c r="P95" s="7"/>
      <c r="Q95" s="7"/>
      <c r="R95" s="7"/>
      <c r="S95" s="7" t="s">
        <v>548</v>
      </c>
      <c r="T95" s="7"/>
      <c r="U95" s="42"/>
      <c r="V95" s="33" t="s">
        <v>15</v>
      </c>
      <c r="W95" s="7"/>
      <c r="X95" s="7"/>
      <c r="Y95" s="42"/>
      <c r="Z95" s="11" t="s">
        <v>153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>
      <c r="A96" s="9"/>
      <c r="B96" s="6" t="s">
        <v>555</v>
      </c>
      <c r="C96" s="6" t="s">
        <v>13</v>
      </c>
      <c r="D96" s="7"/>
      <c r="E96" s="22">
        <v>1</v>
      </c>
      <c r="F96" s="61" t="s">
        <v>15</v>
      </c>
      <c r="G96" s="7"/>
      <c r="H96" s="7"/>
      <c r="I96" s="33" t="s">
        <v>15</v>
      </c>
      <c r="J96" s="7"/>
      <c r="K96" s="42"/>
      <c r="L96" s="33"/>
      <c r="M96" s="7"/>
      <c r="N96" s="7"/>
      <c r="O96" s="7"/>
      <c r="P96" s="7"/>
      <c r="Q96" s="7"/>
      <c r="R96" s="7"/>
      <c r="S96" s="7"/>
      <c r="T96" s="7"/>
      <c r="U96" s="42"/>
      <c r="V96" s="33" t="s">
        <v>15</v>
      </c>
      <c r="W96" s="7"/>
      <c r="X96" s="7"/>
      <c r="Y96" s="42"/>
      <c r="Z96" s="1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>
      <c r="A97" s="9"/>
      <c r="B97" s="6" t="s">
        <v>155</v>
      </c>
      <c r="C97" s="6" t="s">
        <v>22</v>
      </c>
      <c r="D97" s="7"/>
      <c r="E97" s="22">
        <v>2.27</v>
      </c>
      <c r="F97" s="7" t="s">
        <v>15</v>
      </c>
      <c r="G97" s="7"/>
      <c r="H97" s="7"/>
      <c r="I97" s="33" t="s">
        <v>15</v>
      </c>
      <c r="J97" s="7"/>
      <c r="K97" s="42"/>
      <c r="L97" s="33"/>
      <c r="M97" s="7"/>
      <c r="N97" s="7"/>
      <c r="O97" s="7"/>
      <c r="P97" s="7"/>
      <c r="Q97" s="7"/>
      <c r="R97" s="7"/>
      <c r="S97" s="7" t="s">
        <v>548</v>
      </c>
      <c r="T97" s="7"/>
      <c r="U97" s="42"/>
      <c r="V97" s="33" t="s">
        <v>15</v>
      </c>
      <c r="W97" s="7"/>
      <c r="X97" s="7"/>
      <c r="Y97" s="42"/>
      <c r="Z97" s="11" t="s">
        <v>117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>
      <c r="A98" s="9"/>
      <c r="B98" s="6" t="s">
        <v>156</v>
      </c>
      <c r="C98" s="6" t="s">
        <v>27</v>
      </c>
      <c r="D98" s="7"/>
      <c r="E98" s="22">
        <v>1</v>
      </c>
      <c r="F98" s="7" t="s">
        <v>15</v>
      </c>
      <c r="G98" s="7"/>
      <c r="H98" s="7"/>
      <c r="I98" s="33" t="s">
        <v>15</v>
      </c>
      <c r="J98" s="7"/>
      <c r="K98" s="42"/>
      <c r="L98" s="33"/>
      <c r="M98" s="7"/>
      <c r="N98" s="7"/>
      <c r="O98" s="7"/>
      <c r="P98" s="7"/>
      <c r="Q98" s="7"/>
      <c r="R98" s="7"/>
      <c r="S98" s="7" t="s">
        <v>548</v>
      </c>
      <c r="T98" s="7"/>
      <c r="U98" s="42"/>
      <c r="V98" s="33" t="s">
        <v>15</v>
      </c>
      <c r="W98" s="7"/>
      <c r="X98" s="7"/>
      <c r="Y98" s="42"/>
      <c r="Z98" s="11" t="s">
        <v>157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>
      <c r="A99" s="9"/>
      <c r="B99" s="6" t="s">
        <v>158</v>
      </c>
      <c r="C99" s="6" t="s">
        <v>27</v>
      </c>
      <c r="D99" s="7"/>
      <c r="E99" s="22">
        <v>1</v>
      </c>
      <c r="F99" s="7" t="s">
        <v>14</v>
      </c>
      <c r="G99" s="7"/>
      <c r="H99" s="7"/>
      <c r="I99" s="33" t="s">
        <v>15</v>
      </c>
      <c r="J99" s="7"/>
      <c r="K99" s="42"/>
      <c r="L99" s="33"/>
      <c r="M99" s="7"/>
      <c r="N99" s="7"/>
      <c r="O99" s="7"/>
      <c r="P99" s="7"/>
      <c r="Q99" s="7"/>
      <c r="R99" s="7"/>
      <c r="S99" s="7" t="s">
        <v>548</v>
      </c>
      <c r="T99" s="7"/>
      <c r="U99" s="42"/>
      <c r="V99" s="33" t="s">
        <v>15</v>
      </c>
      <c r="W99" s="7"/>
      <c r="X99" s="7"/>
      <c r="Y99" s="42"/>
      <c r="Z99" s="8" t="s">
        <v>159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>
      <c r="A100" s="9"/>
      <c r="B100" s="6" t="s">
        <v>160</v>
      </c>
      <c r="C100" s="6" t="s">
        <v>22</v>
      </c>
      <c r="D100" s="7"/>
      <c r="E100" s="22">
        <v>2</v>
      </c>
      <c r="F100" s="7" t="s">
        <v>15</v>
      </c>
      <c r="G100" s="7"/>
      <c r="H100" s="7"/>
      <c r="I100" s="33" t="s">
        <v>15</v>
      </c>
      <c r="J100" s="7"/>
      <c r="K100" s="42"/>
      <c r="L100" s="33"/>
      <c r="M100" s="7"/>
      <c r="N100" s="7"/>
      <c r="O100" s="7"/>
      <c r="P100" s="7"/>
      <c r="Q100" s="7" t="s">
        <v>548</v>
      </c>
      <c r="R100" s="7"/>
      <c r="S100" s="7" t="s">
        <v>548</v>
      </c>
      <c r="T100" s="7"/>
      <c r="U100" s="42"/>
      <c r="V100" s="33" t="s">
        <v>15</v>
      </c>
      <c r="W100" s="7"/>
      <c r="X100" s="7"/>
      <c r="Y100" s="42"/>
      <c r="Z100" s="11" t="s">
        <v>161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>
      <c r="A101" s="9"/>
      <c r="B101" s="6" t="s">
        <v>162</v>
      </c>
      <c r="C101" s="6" t="s">
        <v>22</v>
      </c>
      <c r="D101" s="7"/>
      <c r="E101" s="22">
        <v>1.25</v>
      </c>
      <c r="F101" s="7" t="s">
        <v>15</v>
      </c>
      <c r="G101" s="7"/>
      <c r="H101" s="7"/>
      <c r="I101" s="33" t="s">
        <v>15</v>
      </c>
      <c r="J101" s="7"/>
      <c r="K101" s="42"/>
      <c r="L101" s="33"/>
      <c r="M101" s="7"/>
      <c r="N101" s="7"/>
      <c r="O101" s="7"/>
      <c r="P101" s="7"/>
      <c r="Q101" s="7"/>
      <c r="R101" s="7"/>
      <c r="S101" s="7" t="s">
        <v>548</v>
      </c>
      <c r="T101" s="7"/>
      <c r="U101" s="42"/>
      <c r="V101" s="33" t="s">
        <v>14</v>
      </c>
      <c r="W101" s="7"/>
      <c r="X101" s="7"/>
      <c r="Y101" s="42"/>
      <c r="Z101" s="11" t="s">
        <v>163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>
      <c r="A102" s="9"/>
      <c r="B102" s="6" t="s">
        <v>164</v>
      </c>
      <c r="C102" s="23" t="s">
        <v>165</v>
      </c>
      <c r="D102" s="117"/>
      <c r="E102" s="22">
        <v>1.25</v>
      </c>
      <c r="F102" s="7" t="s">
        <v>15</v>
      </c>
      <c r="G102" s="7"/>
      <c r="H102" s="7"/>
      <c r="I102" s="33" t="s">
        <v>15</v>
      </c>
      <c r="J102" s="7"/>
      <c r="K102" s="42"/>
      <c r="L102" s="33"/>
      <c r="M102" s="7"/>
      <c r="N102" s="7"/>
      <c r="O102" s="7"/>
      <c r="P102" s="7"/>
      <c r="Q102" s="7" t="s">
        <v>548</v>
      </c>
      <c r="R102" s="7"/>
      <c r="S102" s="7" t="s">
        <v>548</v>
      </c>
      <c r="T102" s="7"/>
      <c r="U102" s="42"/>
      <c r="V102" s="33" t="s">
        <v>14</v>
      </c>
      <c r="W102" s="7"/>
      <c r="X102" s="7"/>
      <c r="Y102" s="42"/>
      <c r="Z102" s="11" t="s">
        <v>166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>
      <c r="A103" s="9"/>
      <c r="B103" s="6" t="s">
        <v>167</v>
      </c>
      <c r="C103" s="6" t="s">
        <v>13</v>
      </c>
      <c r="D103" s="7"/>
      <c r="E103" s="22">
        <v>4.17</v>
      </c>
      <c r="F103" s="7" t="s">
        <v>14</v>
      </c>
      <c r="G103" s="7"/>
      <c r="H103" s="7"/>
      <c r="I103" s="33" t="s">
        <v>15</v>
      </c>
      <c r="J103" s="7"/>
      <c r="K103" s="42"/>
      <c r="L103" s="33"/>
      <c r="M103" s="7"/>
      <c r="N103" s="7"/>
      <c r="O103" s="7"/>
      <c r="P103" s="7"/>
      <c r="Q103" s="7"/>
      <c r="R103" s="7"/>
      <c r="S103" s="7" t="s">
        <v>548</v>
      </c>
      <c r="T103" s="7"/>
      <c r="U103" s="42"/>
      <c r="V103" s="33" t="s">
        <v>15</v>
      </c>
      <c r="W103" s="7"/>
      <c r="X103" s="7"/>
      <c r="Y103" s="42"/>
      <c r="Z103" s="11" t="s">
        <v>168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>
      <c r="A104" s="9"/>
      <c r="B104" s="6" t="s">
        <v>169</v>
      </c>
      <c r="C104" s="6" t="s">
        <v>22</v>
      </c>
      <c r="D104" s="7"/>
      <c r="E104" s="22">
        <v>4.17</v>
      </c>
      <c r="F104" s="7" t="s">
        <v>15</v>
      </c>
      <c r="G104" s="7"/>
      <c r="H104" s="7"/>
      <c r="I104" s="33" t="s">
        <v>15</v>
      </c>
      <c r="J104" s="7"/>
      <c r="K104" s="42"/>
      <c r="L104" s="33"/>
      <c r="M104" s="7"/>
      <c r="N104" s="7"/>
      <c r="O104" s="7"/>
      <c r="P104" s="7"/>
      <c r="Q104" s="7"/>
      <c r="R104" s="7"/>
      <c r="S104" s="7"/>
      <c r="T104" s="7"/>
      <c r="U104" s="42"/>
      <c r="V104" s="33" t="s">
        <v>15</v>
      </c>
      <c r="W104" s="7"/>
      <c r="X104" s="7"/>
      <c r="Y104" s="42"/>
      <c r="Z104" s="11" t="s">
        <v>170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>
      <c r="A105" s="9"/>
      <c r="B105" s="6" t="s">
        <v>171</v>
      </c>
      <c r="C105" s="6" t="s">
        <v>27</v>
      </c>
      <c r="D105" s="7"/>
      <c r="E105" s="22">
        <v>3.29</v>
      </c>
      <c r="F105" s="7" t="s">
        <v>14</v>
      </c>
      <c r="G105" s="7"/>
      <c r="H105" s="7"/>
      <c r="I105" s="33" t="s">
        <v>15</v>
      </c>
      <c r="J105" s="7"/>
      <c r="K105" s="42"/>
      <c r="L105" s="33"/>
      <c r="M105" s="7"/>
      <c r="N105" s="7"/>
      <c r="O105" s="7"/>
      <c r="P105" s="7"/>
      <c r="Q105" s="7"/>
      <c r="R105" s="7"/>
      <c r="S105" s="7" t="s">
        <v>548</v>
      </c>
      <c r="T105" s="7"/>
      <c r="U105" s="42"/>
      <c r="V105" s="33" t="s">
        <v>15</v>
      </c>
      <c r="W105" s="7"/>
      <c r="X105" s="7"/>
      <c r="Y105" s="42"/>
      <c r="Z105" s="11" t="s">
        <v>172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>
      <c r="A106" s="9"/>
      <c r="B106" s="6" t="s">
        <v>173</v>
      </c>
      <c r="C106" s="6" t="s">
        <v>27</v>
      </c>
      <c r="D106" s="7"/>
      <c r="E106" s="22">
        <v>1</v>
      </c>
      <c r="F106" s="7" t="s">
        <v>14</v>
      </c>
      <c r="G106" s="7"/>
      <c r="H106" s="7"/>
      <c r="I106" s="59" t="s">
        <v>15</v>
      </c>
      <c r="J106" s="7"/>
      <c r="K106" s="42"/>
      <c r="L106" s="59"/>
      <c r="M106" s="7"/>
      <c r="N106" s="7"/>
      <c r="O106" s="7"/>
      <c r="P106" s="7"/>
      <c r="Q106" s="7"/>
      <c r="R106" s="7"/>
      <c r="S106" s="7" t="s">
        <v>548</v>
      </c>
      <c r="T106" s="7"/>
      <c r="U106" s="42"/>
      <c r="V106" s="33" t="s">
        <v>15</v>
      </c>
      <c r="W106" s="7"/>
      <c r="X106" s="7"/>
      <c r="Y106" s="42"/>
      <c r="Z106" s="6" t="s">
        <v>186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>
      <c r="A107" s="9"/>
      <c r="B107" s="6" t="s">
        <v>174</v>
      </c>
      <c r="C107" s="6" t="s">
        <v>13</v>
      </c>
      <c r="D107" s="7"/>
      <c r="E107" s="22">
        <v>1.5</v>
      </c>
      <c r="F107" s="7" t="s">
        <v>14</v>
      </c>
      <c r="G107" s="7"/>
      <c r="H107" s="7"/>
      <c r="I107" s="33" t="s">
        <v>15</v>
      </c>
      <c r="J107" s="7"/>
      <c r="K107" s="42"/>
      <c r="L107" s="59"/>
      <c r="M107" s="7"/>
      <c r="N107" s="7"/>
      <c r="O107" s="7"/>
      <c r="P107" s="7"/>
      <c r="Q107" s="7"/>
      <c r="R107" s="7"/>
      <c r="S107" s="7" t="s">
        <v>550</v>
      </c>
      <c r="T107" s="7"/>
      <c r="U107" s="42"/>
      <c r="V107" s="33" t="s">
        <v>15</v>
      </c>
      <c r="W107" s="7"/>
      <c r="X107" s="7"/>
      <c r="Y107" s="42"/>
      <c r="Z107" s="11" t="s">
        <v>189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>
      <c r="A108" s="9"/>
      <c r="B108" s="6" t="s">
        <v>547</v>
      </c>
      <c r="C108" s="6"/>
      <c r="D108" s="7"/>
      <c r="E108" s="22"/>
      <c r="F108" s="7"/>
      <c r="G108" s="7"/>
      <c r="H108" s="7"/>
      <c r="I108" s="33"/>
      <c r="J108" s="7"/>
      <c r="K108" s="42"/>
      <c r="L108" s="59"/>
      <c r="M108" s="7"/>
      <c r="N108" s="7"/>
      <c r="O108" s="7"/>
      <c r="P108" s="7"/>
      <c r="Q108" s="7" t="s">
        <v>549</v>
      </c>
      <c r="R108" s="7"/>
      <c r="S108" s="7" t="s">
        <v>549</v>
      </c>
      <c r="T108" s="7"/>
      <c r="U108" s="42"/>
      <c r="V108" s="33"/>
      <c r="W108" s="7"/>
      <c r="X108" s="7"/>
      <c r="Y108" s="42"/>
      <c r="Z108" s="1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>
      <c r="A109" s="9"/>
      <c r="B109" s="6" t="s">
        <v>251</v>
      </c>
      <c r="C109" s="6" t="s">
        <v>27</v>
      </c>
      <c r="D109" s="7"/>
      <c r="E109" s="22">
        <v>2.5</v>
      </c>
      <c r="F109" s="62" t="s">
        <v>14</v>
      </c>
      <c r="G109" s="7"/>
      <c r="H109" s="7"/>
      <c r="I109" s="33"/>
      <c r="J109" s="7"/>
      <c r="K109" s="42"/>
      <c r="L109" s="59"/>
      <c r="M109" s="7"/>
      <c r="N109" s="7"/>
      <c r="O109" s="7"/>
      <c r="P109" s="7"/>
      <c r="Q109" s="7"/>
      <c r="R109" s="7"/>
      <c r="S109" s="7" t="s">
        <v>550</v>
      </c>
      <c r="T109" s="7"/>
      <c r="U109" s="42"/>
      <c r="V109" s="33" t="s">
        <v>15</v>
      </c>
      <c r="W109" s="7"/>
      <c r="X109" s="7"/>
      <c r="Y109" s="42"/>
      <c r="Z109" s="11" t="s">
        <v>252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>
      <c r="A110" s="9"/>
      <c r="B110" s="6" t="s">
        <v>331</v>
      </c>
      <c r="C110" s="6" t="s">
        <v>267</v>
      </c>
      <c r="D110" s="7"/>
      <c r="E110" s="22"/>
      <c r="F110" s="62"/>
      <c r="G110" s="7"/>
      <c r="H110" s="7"/>
      <c r="I110" s="33"/>
      <c r="J110" s="7"/>
      <c r="K110" s="42"/>
      <c r="L110" s="59"/>
      <c r="M110" s="7"/>
      <c r="N110" s="7"/>
      <c r="O110" s="7"/>
      <c r="P110" s="7"/>
      <c r="Q110" s="7" t="s">
        <v>571</v>
      </c>
      <c r="R110" s="7"/>
      <c r="S110" s="7" t="s">
        <v>551</v>
      </c>
      <c r="T110" s="7"/>
      <c r="U110" s="42"/>
      <c r="V110" s="33"/>
      <c r="W110" s="7"/>
      <c r="X110" s="7"/>
      <c r="Y110" s="42"/>
      <c r="Z110" s="11" t="s">
        <v>333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>
      <c r="A111" s="9"/>
      <c r="B111" s="6" t="s">
        <v>175</v>
      </c>
      <c r="C111" s="6" t="s">
        <v>27</v>
      </c>
      <c r="D111" s="7"/>
      <c r="E111" s="22" t="s">
        <v>15</v>
      </c>
      <c r="F111" s="7" t="s">
        <v>15</v>
      </c>
      <c r="G111" s="7"/>
      <c r="H111" s="7"/>
      <c r="I111" s="33" t="s">
        <v>15</v>
      </c>
      <c r="J111" s="7"/>
      <c r="K111" s="42"/>
      <c r="L111" s="33"/>
      <c r="M111" s="7"/>
      <c r="N111" s="7"/>
      <c r="O111" s="7"/>
      <c r="P111" s="7"/>
      <c r="Q111" s="7"/>
      <c r="R111" s="7"/>
      <c r="S111" s="7"/>
      <c r="T111" s="7"/>
      <c r="U111" s="42"/>
      <c r="V111" s="33" t="s">
        <v>15</v>
      </c>
      <c r="W111" s="7"/>
      <c r="X111" s="7"/>
      <c r="Y111" s="42"/>
      <c r="Z111" s="1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>
      <c r="A112" s="9"/>
      <c r="B112" s="6" t="s">
        <v>176</v>
      </c>
      <c r="C112" s="6" t="s">
        <v>22</v>
      </c>
      <c r="D112" s="7"/>
      <c r="E112" s="22">
        <v>1</v>
      </c>
      <c r="F112" s="7" t="s">
        <v>15</v>
      </c>
      <c r="G112" s="7"/>
      <c r="H112" s="7"/>
      <c r="I112" s="33" t="s">
        <v>15</v>
      </c>
      <c r="J112" s="7"/>
      <c r="K112" s="42"/>
      <c r="L112" s="33"/>
      <c r="M112" s="7"/>
      <c r="N112" s="7"/>
      <c r="O112" s="7"/>
      <c r="P112" s="7"/>
      <c r="Q112" s="7"/>
      <c r="R112" s="7"/>
      <c r="S112" s="7" t="s">
        <v>548</v>
      </c>
      <c r="T112" s="7"/>
      <c r="U112" s="42"/>
      <c r="V112" s="33" t="s">
        <v>15</v>
      </c>
      <c r="W112" s="7"/>
      <c r="X112" s="7"/>
      <c r="Y112" s="42"/>
      <c r="Z112" s="11" t="s">
        <v>177</v>
      </c>
      <c r="AA112" s="1"/>
      <c r="AB112" s="57">
        <f>22%*1.2*38%</f>
        <v>0.10032000000000001</v>
      </c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>
      <c r="A113" s="9"/>
      <c r="B113" s="6" t="s">
        <v>178</v>
      </c>
      <c r="C113" s="6" t="s">
        <v>22</v>
      </c>
      <c r="D113" s="7"/>
      <c r="E113" s="22">
        <v>1</v>
      </c>
      <c r="F113" s="7" t="s">
        <v>15</v>
      </c>
      <c r="G113" s="7"/>
      <c r="H113" s="7"/>
      <c r="I113" s="33" t="s">
        <v>15</v>
      </c>
      <c r="J113" s="7"/>
      <c r="K113" s="42"/>
      <c r="L113" s="33"/>
      <c r="M113" s="7"/>
      <c r="N113" s="7"/>
      <c r="O113" s="7"/>
      <c r="P113" s="7"/>
      <c r="Q113" s="7"/>
      <c r="R113" s="7"/>
      <c r="S113" s="7"/>
      <c r="T113" s="7"/>
      <c r="U113" s="42"/>
      <c r="V113" s="33" t="s">
        <v>15</v>
      </c>
      <c r="W113" s="7"/>
      <c r="X113" s="7"/>
      <c r="Y113" s="42"/>
      <c r="Z113" s="1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>
      <c r="A114" s="9"/>
      <c r="B114" s="6" t="s">
        <v>179</v>
      </c>
      <c r="C114" s="6" t="s">
        <v>13</v>
      </c>
      <c r="D114" s="7"/>
      <c r="E114" s="22">
        <v>1</v>
      </c>
      <c r="F114" s="7" t="s">
        <v>15</v>
      </c>
      <c r="G114" s="7"/>
      <c r="H114" s="7"/>
      <c r="I114" s="33" t="s">
        <v>15</v>
      </c>
      <c r="J114" s="7"/>
      <c r="K114" s="42"/>
      <c r="L114" s="33"/>
      <c r="M114" s="7"/>
      <c r="N114" s="7"/>
      <c r="O114" s="7"/>
      <c r="P114" s="7"/>
      <c r="Q114" s="7"/>
      <c r="R114" s="7"/>
      <c r="S114" s="7" t="s">
        <v>548</v>
      </c>
      <c r="T114" s="7"/>
      <c r="U114" s="42"/>
      <c r="V114" s="33" t="s">
        <v>15</v>
      </c>
      <c r="W114" s="7"/>
      <c r="X114" s="7"/>
      <c r="Y114" s="42"/>
      <c r="Z114" s="8" t="s">
        <v>180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>
      <c r="A115" s="9"/>
      <c r="B115" s="6" t="s">
        <v>181</v>
      </c>
      <c r="C115" s="6" t="s">
        <v>27</v>
      </c>
      <c r="D115" s="7"/>
      <c r="E115" s="22">
        <v>1</v>
      </c>
      <c r="F115" s="7" t="s">
        <v>15</v>
      </c>
      <c r="G115" s="7"/>
      <c r="H115" s="7"/>
      <c r="I115" s="33" t="s">
        <v>14</v>
      </c>
      <c r="J115" s="7"/>
      <c r="K115" s="42"/>
      <c r="L115" s="33"/>
      <c r="M115" s="7"/>
      <c r="N115" s="7"/>
      <c r="O115" s="7"/>
      <c r="P115" s="7"/>
      <c r="Q115" s="7"/>
      <c r="R115" s="7"/>
      <c r="S115" s="7"/>
      <c r="T115" s="7"/>
      <c r="U115" s="42"/>
      <c r="V115" s="33" t="s">
        <v>15</v>
      </c>
      <c r="W115" s="7"/>
      <c r="X115" s="7"/>
      <c r="Y115" s="42"/>
      <c r="Z115" s="8" t="s">
        <v>182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>
      <c r="A116" s="13"/>
      <c r="B116" s="122" t="s">
        <v>49</v>
      </c>
      <c r="C116" s="123"/>
      <c r="D116" s="133"/>
      <c r="E116" s="124"/>
      <c r="F116" s="14">
        <f>COUNTIF(F85:F115,"○")+1</f>
        <v>15</v>
      </c>
      <c r="G116" s="14">
        <f>COUNTIF(G85:G115,"○")+1</f>
        <v>1</v>
      </c>
      <c r="H116" s="31"/>
      <c r="I116" s="34">
        <f>COUNTIF(I85:I115,"○")</f>
        <v>2</v>
      </c>
      <c r="J116" s="31">
        <f>COUNTIF(J85:J115,"○")</f>
        <v>0</v>
      </c>
      <c r="K116" s="46"/>
      <c r="L116" s="34"/>
      <c r="M116" s="31"/>
      <c r="N116" s="31"/>
      <c r="O116" s="31"/>
      <c r="P116" s="31"/>
      <c r="Q116" s="31"/>
      <c r="R116" s="31"/>
      <c r="S116" s="31"/>
      <c r="T116" s="31"/>
      <c r="U116" s="46"/>
      <c r="V116" s="67"/>
      <c r="W116" s="30"/>
      <c r="X116" s="31"/>
      <c r="Y116" s="46"/>
      <c r="Z116" s="69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>
      <c r="A117" s="136" t="s">
        <v>183</v>
      </c>
      <c r="B117" s="123"/>
      <c r="C117" s="123"/>
      <c r="D117" s="133"/>
      <c r="E117" s="124"/>
      <c r="F117" s="40">
        <f>SUM(F24, F50, F72, F84, F116)</f>
        <v>46</v>
      </c>
      <c r="G117" s="35">
        <f>SUM(G24, G50, G72, G84, G116)</f>
        <v>1</v>
      </c>
      <c r="H117" s="35"/>
      <c r="I117" s="47">
        <f>SUM(I24, I50, I72, I84, I116)</f>
        <v>9</v>
      </c>
      <c r="J117" s="48">
        <f>SUM(J24, J50, J72, J84, J116)</f>
        <v>0</v>
      </c>
      <c r="K117" s="66"/>
      <c r="L117" s="68"/>
      <c r="M117" s="35"/>
      <c r="N117" s="35"/>
      <c r="O117" s="35"/>
      <c r="P117" s="35"/>
      <c r="Q117" s="35"/>
      <c r="R117" s="35"/>
      <c r="S117" s="35"/>
      <c r="T117" s="35"/>
      <c r="U117" s="66"/>
      <c r="V117" s="73"/>
      <c r="W117" s="78"/>
      <c r="X117" s="35"/>
      <c r="Y117" s="66"/>
      <c r="Z117" s="72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>
      <c r="A118" s="1"/>
      <c r="B118" s="1"/>
      <c r="C118" s="1"/>
      <c r="D118" s="36"/>
      <c r="E118" s="36"/>
      <c r="F118" s="36"/>
      <c r="G118" s="36"/>
      <c r="H118" s="36"/>
      <c r="I118" s="36"/>
      <c r="J118" s="36"/>
      <c r="K118" s="3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>
      <c r="A119" s="1"/>
      <c r="C119" s="1" t="s">
        <v>13</v>
      </c>
      <c r="D119" s="36"/>
      <c r="E119" s="36"/>
      <c r="F119" s="36">
        <f t="shared" ref="F119:K119" si="4">COUNTIFS($C$3:$C$115,$C119,F$3:F$115,"○")</f>
        <v>15</v>
      </c>
      <c r="G119" s="36">
        <f t="shared" si="4"/>
        <v>0</v>
      </c>
      <c r="H119" s="36">
        <f t="shared" si="4"/>
        <v>0</v>
      </c>
      <c r="I119" s="36">
        <f t="shared" si="4"/>
        <v>3</v>
      </c>
      <c r="J119" s="36">
        <f t="shared" si="4"/>
        <v>0</v>
      </c>
      <c r="K119" s="36">
        <f t="shared" si="4"/>
        <v>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>
      <c r="A120" s="1"/>
      <c r="C120" s="1" t="s">
        <v>27</v>
      </c>
      <c r="D120" s="36"/>
      <c r="E120" s="36"/>
      <c r="F120" s="36">
        <f>COUNTIFS($C$3:$C$115,$C120,F$3:F$115,"○")</f>
        <v>18</v>
      </c>
      <c r="G120" s="37">
        <f>COUNTIFS($C$3:$C$115,$C120,G$3:G$115,"○")+1</f>
        <v>1</v>
      </c>
      <c r="H120" s="41">
        <f t="shared" ref="H120:K121" si="5">COUNTIFS($C$3:$C$115,$C120,H$3:H$115,"○")</f>
        <v>0</v>
      </c>
      <c r="I120" s="36">
        <f t="shared" si="5"/>
        <v>4</v>
      </c>
      <c r="J120" s="36">
        <f t="shared" si="5"/>
        <v>0</v>
      </c>
      <c r="K120" s="36">
        <f t="shared" si="5"/>
        <v>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>
      <c r="A121" s="1"/>
      <c r="C121" s="1" t="s">
        <v>22</v>
      </c>
      <c r="D121" s="36"/>
      <c r="E121" s="36"/>
      <c r="F121" s="64">
        <f>COUNTIFS($C$3:$C$115,$C121,F$3:F$115,"○")</f>
        <v>12</v>
      </c>
      <c r="G121" s="36">
        <f>COUNTIFS($C$3:$C$115,$C121,G$3:G$115,"○")</f>
        <v>0</v>
      </c>
      <c r="H121" s="36">
        <f t="shared" si="5"/>
        <v>0</v>
      </c>
      <c r="I121" s="36">
        <f t="shared" si="5"/>
        <v>2</v>
      </c>
      <c r="J121" s="36">
        <f t="shared" si="5"/>
        <v>0</v>
      </c>
      <c r="K121" s="36">
        <f t="shared" si="5"/>
        <v>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>
      <c r="A122" s="1"/>
      <c r="B122" s="1"/>
      <c r="C122" s="1"/>
      <c r="D122" s="36"/>
      <c r="E122" s="36"/>
      <c r="F122" s="36">
        <f t="shared" ref="F122:K122" si="6">SUM(F119:F121)</f>
        <v>45</v>
      </c>
      <c r="G122" s="36">
        <f t="shared" si="6"/>
        <v>1</v>
      </c>
      <c r="H122" s="36">
        <f t="shared" si="6"/>
        <v>0</v>
      </c>
      <c r="I122" s="36">
        <f t="shared" si="6"/>
        <v>9</v>
      </c>
      <c r="J122" s="36">
        <f t="shared" si="6"/>
        <v>0</v>
      </c>
      <c r="K122" s="36">
        <f t="shared" si="6"/>
        <v>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>
      <c r="A123" s="1"/>
      <c r="B123" s="1"/>
      <c r="C123" s="1"/>
      <c r="D123" s="36"/>
      <c r="E123" s="36"/>
      <c r="F123" s="36"/>
      <c r="G123" s="36"/>
      <c r="H123" s="36"/>
      <c r="I123" s="36"/>
      <c r="J123" s="36"/>
      <c r="K123" s="3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>
      <c r="A124" s="1"/>
      <c r="B124" s="1"/>
      <c r="C124" s="1"/>
      <c r="D124" s="36"/>
      <c r="E124" s="36"/>
      <c r="F124" s="36"/>
      <c r="G124" s="36"/>
      <c r="H124" s="36"/>
      <c r="I124" s="36"/>
      <c r="J124" s="36"/>
      <c r="K124" s="3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>
      <c r="A125" s="1"/>
      <c r="B125" s="1"/>
      <c r="C125" s="1"/>
      <c r="D125" s="36"/>
      <c r="E125" s="36"/>
      <c r="F125" s="36"/>
      <c r="G125" s="36"/>
      <c r="H125" s="36"/>
      <c r="I125" s="36"/>
      <c r="J125" s="36"/>
      <c r="K125" s="3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>
      <c r="A126" s="1"/>
      <c r="B126" s="1"/>
      <c r="C126" s="1"/>
      <c r="D126" s="36"/>
      <c r="E126" s="36"/>
      <c r="F126" s="36"/>
      <c r="G126" s="36"/>
      <c r="H126" s="36"/>
      <c r="I126" s="36"/>
      <c r="J126" s="36"/>
      <c r="K126" s="3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>
      <c r="A127" s="1"/>
      <c r="B127" s="1"/>
      <c r="C127" s="1"/>
      <c r="D127" s="36"/>
      <c r="E127" s="36"/>
      <c r="F127" s="36"/>
      <c r="G127" s="36"/>
      <c r="H127" s="36"/>
      <c r="I127" s="36"/>
      <c r="J127" s="36"/>
      <c r="K127" s="3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>
      <c r="A128" s="1"/>
      <c r="B128" s="1"/>
      <c r="C128" s="1"/>
      <c r="D128" s="36"/>
      <c r="E128" s="36"/>
      <c r="F128" s="36"/>
      <c r="G128" s="36"/>
      <c r="H128" s="36"/>
      <c r="I128" s="36"/>
      <c r="J128" s="36"/>
      <c r="K128" s="3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>
      <c r="A129" s="1"/>
      <c r="B129" s="1"/>
      <c r="C129" s="1"/>
      <c r="D129" s="36"/>
      <c r="E129" s="36"/>
      <c r="F129" s="36"/>
      <c r="G129" s="36"/>
      <c r="H129" s="36"/>
      <c r="I129" s="36"/>
      <c r="J129" s="36"/>
      <c r="K129" s="3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>
      <c r="A130" s="1"/>
      <c r="B130" s="1"/>
      <c r="C130" s="1"/>
      <c r="D130" s="36"/>
      <c r="E130" s="36"/>
      <c r="F130" s="36"/>
      <c r="G130" s="36"/>
      <c r="H130" s="36"/>
      <c r="I130" s="36"/>
      <c r="J130" s="36"/>
      <c r="K130" s="3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>
      <c r="A131" s="1"/>
      <c r="B131" s="1"/>
      <c r="C131" s="1"/>
      <c r="D131" s="36"/>
      <c r="E131" s="36"/>
      <c r="F131" s="36"/>
      <c r="G131" s="36"/>
      <c r="H131" s="36"/>
      <c r="I131" s="36"/>
      <c r="J131" s="36"/>
      <c r="K131" s="3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>
      <c r="A132" s="1"/>
      <c r="B132" s="1"/>
      <c r="C132" s="1"/>
      <c r="D132" s="36"/>
      <c r="E132" s="36"/>
      <c r="F132" s="36"/>
      <c r="G132" s="36"/>
      <c r="H132" s="36"/>
      <c r="I132" s="36"/>
      <c r="J132" s="36"/>
      <c r="K132" s="3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>
      <c r="A133" s="1"/>
      <c r="B133" s="1"/>
      <c r="C133" s="1"/>
      <c r="D133" s="36"/>
      <c r="E133" s="36"/>
      <c r="F133" s="36"/>
      <c r="G133" s="36"/>
      <c r="H133" s="36"/>
      <c r="I133" s="36"/>
      <c r="J133" s="36"/>
      <c r="K133" s="3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>
      <c r="A134" s="1"/>
      <c r="B134" s="1"/>
      <c r="C134" s="1"/>
      <c r="D134" s="36"/>
      <c r="E134" s="36"/>
      <c r="F134" s="36"/>
      <c r="G134" s="36"/>
      <c r="H134" s="36"/>
      <c r="I134" s="36"/>
      <c r="J134" s="36"/>
      <c r="K134" s="3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>
      <c r="A135" s="1"/>
      <c r="B135" s="1"/>
      <c r="C135" s="1"/>
      <c r="D135" s="36"/>
      <c r="E135" s="36"/>
      <c r="F135" s="36"/>
      <c r="G135" s="36"/>
      <c r="H135" s="36"/>
      <c r="I135" s="36"/>
      <c r="J135" s="36"/>
      <c r="K135" s="3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>
      <c r="A136" s="1"/>
      <c r="B136" s="1"/>
      <c r="C136" s="1"/>
      <c r="D136" s="36"/>
      <c r="E136" s="36"/>
      <c r="F136" s="36"/>
      <c r="G136" s="36"/>
      <c r="H136" s="36"/>
      <c r="I136" s="36"/>
      <c r="J136" s="36"/>
      <c r="K136" s="3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>
      <c r="A137" s="1"/>
      <c r="B137" s="1"/>
      <c r="C137" s="1"/>
      <c r="D137" s="36"/>
      <c r="E137" s="36"/>
      <c r="F137" s="36"/>
      <c r="G137" s="36"/>
      <c r="H137" s="36"/>
      <c r="I137" s="36"/>
      <c r="J137" s="36"/>
      <c r="K137" s="3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>
      <c r="A138" s="1"/>
      <c r="B138" s="1"/>
      <c r="C138" s="1"/>
      <c r="D138" s="36"/>
      <c r="E138" s="36"/>
      <c r="F138" s="36"/>
      <c r="G138" s="36"/>
      <c r="H138" s="36"/>
      <c r="I138" s="36"/>
      <c r="J138" s="36"/>
      <c r="K138" s="3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>
      <c r="A139" s="1"/>
      <c r="B139" s="1"/>
      <c r="C139" s="1"/>
      <c r="D139" s="36"/>
      <c r="E139" s="36"/>
      <c r="F139" s="36"/>
      <c r="G139" s="36"/>
      <c r="H139" s="36"/>
      <c r="I139" s="36"/>
      <c r="J139" s="36"/>
      <c r="K139" s="3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>
      <c r="A140" s="1"/>
      <c r="B140" s="1"/>
      <c r="C140" s="1"/>
      <c r="D140" s="36"/>
      <c r="E140" s="36"/>
      <c r="F140" s="36"/>
      <c r="G140" s="36"/>
      <c r="H140" s="36"/>
      <c r="I140" s="36"/>
      <c r="J140" s="36"/>
      <c r="K140" s="3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>
      <c r="A141" s="1"/>
      <c r="B141" s="1"/>
      <c r="C141" s="1"/>
      <c r="D141" s="36"/>
      <c r="E141" s="36"/>
      <c r="F141" s="36"/>
      <c r="G141" s="36"/>
      <c r="H141" s="36"/>
      <c r="I141" s="36"/>
      <c r="J141" s="36"/>
      <c r="K141" s="3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>
      <c r="A142" s="1"/>
      <c r="B142" s="1"/>
      <c r="C142" s="1"/>
      <c r="D142" s="36"/>
      <c r="E142" s="36"/>
      <c r="F142" s="36"/>
      <c r="G142" s="36"/>
      <c r="H142" s="36"/>
      <c r="I142" s="36"/>
      <c r="J142" s="36"/>
      <c r="K142" s="3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>
      <c r="A143" s="1"/>
      <c r="B143" s="1"/>
      <c r="C143" s="1"/>
      <c r="D143" s="36"/>
      <c r="E143" s="36"/>
      <c r="F143" s="36"/>
      <c r="G143" s="36"/>
      <c r="H143" s="36"/>
      <c r="I143" s="36"/>
      <c r="J143" s="36"/>
      <c r="K143" s="3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>
      <c r="A144" s="1"/>
      <c r="B144" s="1"/>
      <c r="C144" s="1"/>
      <c r="D144" s="36"/>
      <c r="E144" s="36"/>
      <c r="F144" s="36"/>
      <c r="G144" s="36"/>
      <c r="H144" s="36"/>
      <c r="I144" s="36"/>
      <c r="J144" s="36"/>
      <c r="K144" s="3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>
      <c r="A145" s="1"/>
      <c r="B145" s="1"/>
      <c r="C145" s="1"/>
      <c r="D145" s="36"/>
      <c r="E145" s="36"/>
      <c r="F145" s="36"/>
      <c r="G145" s="36"/>
      <c r="H145" s="36"/>
      <c r="I145" s="36"/>
      <c r="J145" s="36"/>
      <c r="K145" s="3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>
      <c r="A146" s="1"/>
      <c r="B146" s="1"/>
      <c r="C146" s="1"/>
      <c r="D146" s="36"/>
      <c r="E146" s="36"/>
      <c r="F146" s="36"/>
      <c r="G146" s="36"/>
      <c r="H146" s="36"/>
      <c r="I146" s="36"/>
      <c r="J146" s="36"/>
      <c r="K146" s="3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>
      <c r="A147" s="1"/>
      <c r="B147" s="1"/>
      <c r="C147" s="1"/>
      <c r="D147" s="36"/>
      <c r="E147" s="36"/>
      <c r="F147" s="36"/>
      <c r="G147" s="36"/>
      <c r="H147" s="36"/>
      <c r="I147" s="36"/>
      <c r="J147" s="36"/>
      <c r="K147" s="3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>
      <c r="A148" s="1"/>
      <c r="B148" s="1"/>
      <c r="C148" s="1"/>
      <c r="D148" s="36"/>
      <c r="E148" s="36"/>
      <c r="F148" s="36"/>
      <c r="G148" s="36"/>
      <c r="H148" s="36"/>
      <c r="I148" s="36"/>
      <c r="J148" s="36"/>
      <c r="K148" s="3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>
      <c r="A149" s="1"/>
      <c r="B149" s="1"/>
      <c r="C149" s="1"/>
      <c r="D149" s="36"/>
      <c r="E149" s="36"/>
      <c r="F149" s="36"/>
      <c r="G149" s="36"/>
      <c r="H149" s="36"/>
      <c r="I149" s="36"/>
      <c r="J149" s="36"/>
      <c r="K149" s="3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>
      <c r="A150" s="1"/>
      <c r="B150" s="1"/>
      <c r="C150" s="1"/>
      <c r="D150" s="36"/>
      <c r="E150" s="36"/>
      <c r="F150" s="36"/>
      <c r="G150" s="36"/>
      <c r="H150" s="36"/>
      <c r="I150" s="36"/>
      <c r="J150" s="36"/>
      <c r="K150" s="3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>
      <c r="A151" s="1"/>
      <c r="B151" s="1"/>
      <c r="C151" s="1"/>
      <c r="D151" s="36"/>
      <c r="E151" s="36"/>
      <c r="F151" s="36"/>
      <c r="G151" s="36"/>
      <c r="H151" s="36"/>
      <c r="I151" s="36"/>
      <c r="J151" s="36"/>
      <c r="K151" s="3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>
      <c r="A152" s="1"/>
      <c r="B152" s="1"/>
      <c r="C152" s="1"/>
      <c r="D152" s="36"/>
      <c r="E152" s="36"/>
      <c r="F152" s="36"/>
      <c r="G152" s="36"/>
      <c r="H152" s="36"/>
      <c r="I152" s="36"/>
      <c r="J152" s="36"/>
      <c r="K152" s="3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>
      <c r="A153" s="1"/>
      <c r="B153" s="1"/>
      <c r="C153" s="1"/>
      <c r="D153" s="36"/>
      <c r="E153" s="36"/>
      <c r="F153" s="36"/>
      <c r="G153" s="36"/>
      <c r="H153" s="36"/>
      <c r="I153" s="36"/>
      <c r="J153" s="36"/>
      <c r="K153" s="3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>
      <c r="A154" s="1"/>
      <c r="B154" s="1"/>
      <c r="C154" s="1"/>
      <c r="D154" s="36"/>
      <c r="E154" s="36"/>
      <c r="F154" s="36"/>
      <c r="G154" s="36"/>
      <c r="H154" s="36"/>
      <c r="I154" s="36"/>
      <c r="J154" s="36"/>
      <c r="K154" s="3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>
      <c r="A155" s="1"/>
      <c r="B155" s="1"/>
      <c r="C155" s="1"/>
      <c r="D155" s="36"/>
      <c r="E155" s="36"/>
      <c r="F155" s="36"/>
      <c r="G155" s="36"/>
      <c r="H155" s="36"/>
      <c r="I155" s="36"/>
      <c r="J155" s="36"/>
      <c r="K155" s="3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>
      <c r="A156" s="1"/>
      <c r="B156" s="1"/>
      <c r="C156" s="1"/>
      <c r="D156" s="36"/>
      <c r="E156" s="36"/>
      <c r="F156" s="36"/>
      <c r="G156" s="36"/>
      <c r="H156" s="36"/>
      <c r="I156" s="36"/>
      <c r="J156" s="36"/>
      <c r="K156" s="3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>
      <c r="A157" s="1"/>
      <c r="B157" s="1"/>
      <c r="C157" s="1"/>
      <c r="D157" s="36"/>
      <c r="E157" s="36"/>
      <c r="F157" s="36"/>
      <c r="G157" s="36"/>
      <c r="H157" s="36"/>
      <c r="I157" s="36"/>
      <c r="J157" s="36"/>
      <c r="K157" s="3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>
      <c r="A158" s="1"/>
      <c r="B158" s="1"/>
      <c r="C158" s="1"/>
      <c r="D158" s="36"/>
      <c r="E158" s="36"/>
      <c r="F158" s="36"/>
      <c r="G158" s="36"/>
      <c r="H158" s="36"/>
      <c r="I158" s="36"/>
      <c r="J158" s="36"/>
      <c r="K158" s="3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>
      <c r="A159" s="1"/>
      <c r="B159" s="1"/>
      <c r="C159" s="1"/>
      <c r="D159" s="36"/>
      <c r="E159" s="36"/>
      <c r="F159" s="36"/>
      <c r="G159" s="36"/>
      <c r="H159" s="36"/>
      <c r="I159" s="36"/>
      <c r="J159" s="36"/>
      <c r="K159" s="3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>
      <c r="A160" s="1"/>
      <c r="B160" s="1"/>
      <c r="C160" s="1"/>
      <c r="D160" s="36"/>
      <c r="E160" s="36"/>
      <c r="F160" s="36"/>
      <c r="G160" s="36"/>
      <c r="H160" s="36"/>
      <c r="I160" s="36"/>
      <c r="J160" s="36"/>
      <c r="K160" s="3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>
      <c r="A161" s="1"/>
      <c r="B161" s="1"/>
      <c r="C161" s="1"/>
      <c r="D161" s="36"/>
      <c r="E161" s="36"/>
      <c r="F161" s="36"/>
      <c r="G161" s="36"/>
      <c r="H161" s="36"/>
      <c r="I161" s="36"/>
      <c r="J161" s="36"/>
      <c r="K161" s="3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>
      <c r="A162" s="1"/>
      <c r="B162" s="1"/>
      <c r="C162" s="1"/>
      <c r="D162" s="36"/>
      <c r="E162" s="36"/>
      <c r="F162" s="36"/>
      <c r="G162" s="36"/>
      <c r="H162" s="36"/>
      <c r="I162" s="36"/>
      <c r="J162" s="36"/>
      <c r="K162" s="3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>
      <c r="A163" s="1"/>
      <c r="B163" s="1"/>
      <c r="C163" s="1"/>
      <c r="D163" s="36"/>
      <c r="E163" s="36"/>
      <c r="F163" s="36"/>
      <c r="G163" s="36"/>
      <c r="H163" s="36"/>
      <c r="I163" s="36"/>
      <c r="J163" s="36"/>
      <c r="K163" s="3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>
      <c r="A164" s="1"/>
      <c r="B164" s="1"/>
      <c r="C164" s="1"/>
      <c r="D164" s="36"/>
      <c r="E164" s="36"/>
      <c r="F164" s="36"/>
      <c r="G164" s="36"/>
      <c r="H164" s="36"/>
      <c r="I164" s="36"/>
      <c r="J164" s="36"/>
      <c r="K164" s="3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>
      <c r="A165" s="1"/>
      <c r="B165" s="1"/>
      <c r="C165" s="1"/>
      <c r="D165" s="36"/>
      <c r="E165" s="36"/>
      <c r="F165" s="36"/>
      <c r="G165" s="36"/>
      <c r="H165" s="36"/>
      <c r="I165" s="36"/>
      <c r="J165" s="36"/>
      <c r="K165" s="3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>
      <c r="A166" s="1"/>
      <c r="B166" s="1"/>
      <c r="C166" s="1"/>
      <c r="D166" s="36"/>
      <c r="E166" s="36"/>
      <c r="F166" s="36"/>
      <c r="G166" s="36"/>
      <c r="H166" s="36"/>
      <c r="I166" s="36"/>
      <c r="J166" s="36"/>
      <c r="K166" s="3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>
      <c r="A167" s="1"/>
      <c r="B167" s="1"/>
      <c r="C167" s="1"/>
      <c r="D167" s="36"/>
      <c r="E167" s="36"/>
      <c r="F167" s="36"/>
      <c r="G167" s="36"/>
      <c r="H167" s="36"/>
      <c r="I167" s="36"/>
      <c r="J167" s="36"/>
      <c r="K167" s="3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>
      <c r="A168" s="1"/>
      <c r="B168" s="1"/>
      <c r="C168" s="1"/>
      <c r="D168" s="36"/>
      <c r="E168" s="36"/>
      <c r="F168" s="36"/>
      <c r="G168" s="36"/>
      <c r="H168" s="36"/>
      <c r="I168" s="36"/>
      <c r="J168" s="36"/>
      <c r="K168" s="3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>
      <c r="A169" s="1"/>
      <c r="B169" s="1"/>
      <c r="C169" s="1"/>
      <c r="D169" s="36"/>
      <c r="E169" s="36"/>
      <c r="F169" s="36"/>
      <c r="G169" s="36"/>
      <c r="H169" s="36"/>
      <c r="I169" s="36"/>
      <c r="J169" s="36"/>
      <c r="K169" s="3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>
      <c r="A170" s="1"/>
      <c r="B170" s="1"/>
      <c r="C170" s="1"/>
      <c r="D170" s="36"/>
      <c r="E170" s="36"/>
      <c r="F170" s="36"/>
      <c r="G170" s="36"/>
      <c r="H170" s="36"/>
      <c r="I170" s="36"/>
      <c r="J170" s="36"/>
      <c r="K170" s="3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>
      <c r="A171" s="1"/>
      <c r="B171" s="1"/>
      <c r="C171" s="1"/>
      <c r="D171" s="36"/>
      <c r="E171" s="36"/>
      <c r="F171" s="36"/>
      <c r="G171" s="36"/>
      <c r="H171" s="36"/>
      <c r="I171" s="36"/>
      <c r="J171" s="36"/>
      <c r="K171" s="3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>
      <c r="A172" s="1"/>
      <c r="B172" s="1"/>
      <c r="C172" s="1"/>
      <c r="D172" s="36"/>
      <c r="E172" s="36"/>
      <c r="F172" s="36"/>
      <c r="G172" s="36"/>
      <c r="H172" s="36"/>
      <c r="I172" s="36"/>
      <c r="J172" s="36"/>
      <c r="K172" s="3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>
      <c r="A173" s="1"/>
      <c r="B173" s="1"/>
      <c r="C173" s="1"/>
      <c r="D173" s="36"/>
      <c r="E173" s="36"/>
      <c r="F173" s="36"/>
      <c r="G173" s="36"/>
      <c r="H173" s="36"/>
      <c r="I173" s="36"/>
      <c r="J173" s="36"/>
      <c r="K173" s="3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>
      <c r="A174" s="1"/>
      <c r="B174" s="1"/>
      <c r="C174" s="1"/>
      <c r="D174" s="36"/>
      <c r="E174" s="36"/>
      <c r="F174" s="36"/>
      <c r="G174" s="36"/>
      <c r="H174" s="36"/>
      <c r="I174" s="36"/>
      <c r="J174" s="36"/>
      <c r="K174" s="3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>
      <c r="A175" s="1"/>
      <c r="B175" s="1"/>
      <c r="C175" s="1"/>
      <c r="D175" s="36"/>
      <c r="E175" s="36"/>
      <c r="F175" s="36"/>
      <c r="G175" s="36"/>
      <c r="H175" s="36"/>
      <c r="I175" s="36"/>
      <c r="J175" s="36"/>
      <c r="K175" s="3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>
      <c r="A176" s="1"/>
      <c r="B176" s="1"/>
      <c r="C176" s="1"/>
      <c r="D176" s="36"/>
      <c r="E176" s="36"/>
      <c r="F176" s="36"/>
      <c r="G176" s="36"/>
      <c r="H176" s="36"/>
      <c r="I176" s="36"/>
      <c r="J176" s="36"/>
      <c r="K176" s="3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>
      <c r="A177" s="1"/>
      <c r="B177" s="1"/>
      <c r="C177" s="1"/>
      <c r="D177" s="36"/>
      <c r="E177" s="36"/>
      <c r="F177" s="36"/>
      <c r="G177" s="36"/>
      <c r="H177" s="36"/>
      <c r="I177" s="36"/>
      <c r="J177" s="36"/>
      <c r="K177" s="3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>
      <c r="A178" s="1"/>
      <c r="B178" s="1"/>
      <c r="C178" s="1"/>
      <c r="D178" s="36"/>
      <c r="E178" s="36"/>
      <c r="F178" s="36"/>
      <c r="G178" s="36"/>
      <c r="H178" s="36"/>
      <c r="I178" s="36"/>
      <c r="J178" s="36"/>
      <c r="K178" s="3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>
      <c r="A179" s="1"/>
      <c r="B179" s="1"/>
      <c r="C179" s="1"/>
      <c r="D179" s="36"/>
      <c r="E179" s="36"/>
      <c r="F179" s="36"/>
      <c r="G179" s="36"/>
      <c r="H179" s="36"/>
      <c r="I179" s="36"/>
      <c r="J179" s="36"/>
      <c r="K179" s="3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>
      <c r="A180" s="1"/>
      <c r="B180" s="1"/>
      <c r="C180" s="1"/>
      <c r="D180" s="36"/>
      <c r="E180" s="36"/>
      <c r="F180" s="36"/>
      <c r="G180" s="36"/>
      <c r="H180" s="36"/>
      <c r="I180" s="36"/>
      <c r="J180" s="36"/>
      <c r="K180" s="3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>
      <c r="A181" s="1"/>
      <c r="B181" s="1"/>
      <c r="C181" s="1"/>
      <c r="D181" s="36"/>
      <c r="E181" s="36"/>
      <c r="F181" s="36"/>
      <c r="G181" s="36"/>
      <c r="H181" s="36"/>
      <c r="I181" s="36"/>
      <c r="J181" s="36"/>
      <c r="K181" s="3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>
      <c r="A182" s="1"/>
      <c r="B182" s="1"/>
      <c r="C182" s="1"/>
      <c r="D182" s="36"/>
      <c r="E182" s="36"/>
      <c r="F182" s="36"/>
      <c r="G182" s="36"/>
      <c r="H182" s="36"/>
      <c r="I182" s="36"/>
      <c r="J182" s="36"/>
      <c r="K182" s="3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>
      <c r="A183" s="1"/>
      <c r="B183" s="1"/>
      <c r="C183" s="1"/>
      <c r="D183" s="36"/>
      <c r="E183" s="36"/>
      <c r="F183" s="36"/>
      <c r="G183" s="36"/>
      <c r="H183" s="36"/>
      <c r="I183" s="36"/>
      <c r="J183" s="36"/>
      <c r="K183" s="3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>
      <c r="A184" s="1"/>
      <c r="B184" s="1"/>
      <c r="C184" s="1"/>
      <c r="D184" s="36"/>
      <c r="E184" s="36"/>
      <c r="F184" s="36"/>
      <c r="G184" s="36"/>
      <c r="H184" s="36"/>
      <c r="I184" s="36"/>
      <c r="J184" s="36"/>
      <c r="K184" s="3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>
      <c r="A185" s="1"/>
      <c r="B185" s="1"/>
      <c r="C185" s="1"/>
      <c r="D185" s="36"/>
      <c r="E185" s="36"/>
      <c r="F185" s="36"/>
      <c r="G185" s="36"/>
      <c r="H185" s="36"/>
      <c r="I185" s="36"/>
      <c r="J185" s="36"/>
      <c r="K185" s="3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>
      <c r="A186" s="1"/>
      <c r="B186" s="1"/>
      <c r="C186" s="1"/>
      <c r="D186" s="36"/>
      <c r="E186" s="36"/>
      <c r="F186" s="36"/>
      <c r="G186" s="36"/>
      <c r="H186" s="36"/>
      <c r="I186" s="36"/>
      <c r="J186" s="36"/>
      <c r="K186" s="3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>
      <c r="A187" s="1"/>
      <c r="B187" s="1"/>
      <c r="C187" s="1"/>
      <c r="D187" s="36"/>
      <c r="E187" s="36"/>
      <c r="F187" s="36"/>
      <c r="G187" s="36"/>
      <c r="H187" s="36"/>
      <c r="I187" s="36"/>
      <c r="J187" s="36"/>
      <c r="K187" s="3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>
      <c r="A188" s="1"/>
      <c r="B188" s="1"/>
      <c r="C188" s="1"/>
      <c r="D188" s="36"/>
      <c r="E188" s="36"/>
      <c r="F188" s="36"/>
      <c r="G188" s="36"/>
      <c r="H188" s="36"/>
      <c r="I188" s="36"/>
      <c r="J188" s="36"/>
      <c r="K188" s="3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>
      <c r="A189" s="1"/>
      <c r="B189" s="1"/>
      <c r="C189" s="1"/>
      <c r="D189" s="36"/>
      <c r="E189" s="36"/>
      <c r="F189" s="36"/>
      <c r="G189" s="36"/>
      <c r="H189" s="36"/>
      <c r="I189" s="36"/>
      <c r="J189" s="36"/>
      <c r="K189" s="3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>
      <c r="A190" s="1"/>
      <c r="B190" s="1"/>
      <c r="C190" s="1"/>
      <c r="D190" s="36"/>
      <c r="E190" s="36"/>
      <c r="F190" s="36"/>
      <c r="G190" s="36"/>
      <c r="H190" s="36"/>
      <c r="I190" s="36"/>
      <c r="J190" s="36"/>
      <c r="K190" s="3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>
      <c r="A191" s="1"/>
      <c r="B191" s="1"/>
      <c r="C191" s="1"/>
      <c r="D191" s="36"/>
      <c r="E191" s="36"/>
      <c r="F191" s="36"/>
      <c r="G191" s="36"/>
      <c r="H191" s="36"/>
      <c r="I191" s="36"/>
      <c r="J191" s="36"/>
      <c r="K191" s="3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>
      <c r="A192" s="1"/>
      <c r="B192" s="1"/>
      <c r="C192" s="1"/>
      <c r="D192" s="36"/>
      <c r="E192" s="36"/>
      <c r="F192" s="36"/>
      <c r="G192" s="36"/>
      <c r="H192" s="36"/>
      <c r="I192" s="36"/>
      <c r="J192" s="36"/>
      <c r="K192" s="3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>
      <c r="A193" s="1"/>
      <c r="B193" s="1"/>
      <c r="C193" s="1"/>
      <c r="D193" s="36"/>
      <c r="E193" s="36"/>
      <c r="F193" s="36"/>
      <c r="G193" s="36"/>
      <c r="H193" s="36"/>
      <c r="I193" s="36"/>
      <c r="J193" s="36"/>
      <c r="K193" s="3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>
      <c r="A194" s="1"/>
      <c r="B194" s="1"/>
      <c r="C194" s="1"/>
      <c r="D194" s="36"/>
      <c r="E194" s="36"/>
      <c r="F194" s="36"/>
      <c r="G194" s="36"/>
      <c r="H194" s="36"/>
      <c r="I194" s="36"/>
      <c r="J194" s="36"/>
      <c r="K194" s="3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>
      <c r="A195" s="1"/>
      <c r="B195" s="1"/>
      <c r="C195" s="1"/>
      <c r="D195" s="36"/>
      <c r="E195" s="36"/>
      <c r="F195" s="36"/>
      <c r="G195" s="36"/>
      <c r="H195" s="36"/>
      <c r="I195" s="36"/>
      <c r="J195" s="36"/>
      <c r="K195" s="3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>
      <c r="A196" s="1"/>
      <c r="B196" s="1"/>
      <c r="C196" s="1"/>
      <c r="D196" s="36"/>
      <c r="E196" s="36"/>
      <c r="F196" s="36"/>
      <c r="G196" s="36"/>
      <c r="H196" s="36"/>
      <c r="I196" s="36"/>
      <c r="J196" s="36"/>
      <c r="K196" s="3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>
      <c r="A197" s="1"/>
      <c r="B197" s="1"/>
      <c r="C197" s="1"/>
      <c r="D197" s="36"/>
      <c r="E197" s="36"/>
      <c r="F197" s="36"/>
      <c r="G197" s="36"/>
      <c r="H197" s="36"/>
      <c r="I197" s="36"/>
      <c r="J197" s="36"/>
      <c r="K197" s="3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>
      <c r="A198" s="1"/>
      <c r="B198" s="1"/>
      <c r="C198" s="1"/>
      <c r="D198" s="36"/>
      <c r="E198" s="36"/>
      <c r="F198" s="36"/>
      <c r="G198" s="36"/>
      <c r="H198" s="36"/>
      <c r="I198" s="36"/>
      <c r="J198" s="36"/>
      <c r="K198" s="3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>
      <c r="A199" s="1"/>
      <c r="B199" s="1"/>
      <c r="C199" s="1"/>
      <c r="D199" s="36"/>
      <c r="E199" s="36"/>
      <c r="F199" s="36"/>
      <c r="G199" s="36"/>
      <c r="H199" s="36"/>
      <c r="I199" s="36"/>
      <c r="J199" s="36"/>
      <c r="K199" s="3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>
      <c r="A200" s="1"/>
      <c r="B200" s="1"/>
      <c r="C200" s="1"/>
      <c r="D200" s="36"/>
      <c r="E200" s="36"/>
      <c r="F200" s="36"/>
      <c r="G200" s="36"/>
      <c r="H200" s="36"/>
      <c r="I200" s="36"/>
      <c r="J200" s="36"/>
      <c r="K200" s="3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>
      <c r="A201" s="1"/>
      <c r="B201" s="1"/>
      <c r="C201" s="1"/>
      <c r="D201" s="36"/>
      <c r="E201" s="36"/>
      <c r="F201" s="36"/>
      <c r="G201" s="36"/>
      <c r="H201" s="36"/>
      <c r="I201" s="36"/>
      <c r="J201" s="36"/>
      <c r="K201" s="3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>
      <c r="A202" s="1"/>
      <c r="B202" s="1"/>
      <c r="C202" s="1"/>
      <c r="D202" s="36"/>
      <c r="E202" s="36"/>
      <c r="F202" s="36"/>
      <c r="G202" s="36"/>
      <c r="H202" s="36"/>
      <c r="I202" s="36"/>
      <c r="J202" s="36"/>
      <c r="K202" s="3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>
      <c r="A203" s="1"/>
      <c r="B203" s="1"/>
      <c r="C203" s="1"/>
      <c r="D203" s="36"/>
      <c r="E203" s="36"/>
      <c r="F203" s="36"/>
      <c r="G203" s="36"/>
      <c r="H203" s="36"/>
      <c r="I203" s="36"/>
      <c r="J203" s="36"/>
      <c r="K203" s="3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>
      <c r="A204" s="1"/>
      <c r="B204" s="1"/>
      <c r="C204" s="1"/>
      <c r="D204" s="36"/>
      <c r="E204" s="36"/>
      <c r="F204" s="36"/>
      <c r="G204" s="36"/>
      <c r="H204" s="36"/>
      <c r="I204" s="36"/>
      <c r="J204" s="36"/>
      <c r="K204" s="3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>
      <c r="A205" s="1"/>
      <c r="B205" s="1"/>
      <c r="C205" s="1"/>
      <c r="D205" s="36"/>
      <c r="E205" s="36"/>
      <c r="F205" s="36"/>
      <c r="G205" s="36"/>
      <c r="H205" s="36"/>
      <c r="I205" s="36"/>
      <c r="J205" s="36"/>
      <c r="K205" s="3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>
      <c r="A206" s="1"/>
      <c r="B206" s="1"/>
      <c r="C206" s="1"/>
      <c r="D206" s="36"/>
      <c r="E206" s="36"/>
      <c r="F206" s="36"/>
      <c r="G206" s="36"/>
      <c r="H206" s="36"/>
      <c r="I206" s="36"/>
      <c r="J206" s="36"/>
      <c r="K206" s="3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>
      <c r="A207" s="1"/>
      <c r="B207" s="1"/>
      <c r="C207" s="1"/>
      <c r="D207" s="36"/>
      <c r="E207" s="36"/>
      <c r="F207" s="36"/>
      <c r="G207" s="36"/>
      <c r="H207" s="36"/>
      <c r="I207" s="36"/>
      <c r="J207" s="36"/>
      <c r="K207" s="3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>
      <c r="A208" s="1"/>
      <c r="B208" s="1"/>
      <c r="C208" s="1"/>
      <c r="D208" s="36"/>
      <c r="E208" s="36"/>
      <c r="F208" s="36"/>
      <c r="G208" s="36"/>
      <c r="H208" s="36"/>
      <c r="I208" s="36"/>
      <c r="J208" s="36"/>
      <c r="K208" s="3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>
      <c r="A209" s="1"/>
      <c r="B209" s="1"/>
      <c r="C209" s="1"/>
      <c r="D209" s="36"/>
      <c r="E209" s="36"/>
      <c r="F209" s="36"/>
      <c r="G209" s="36"/>
      <c r="H209" s="36"/>
      <c r="I209" s="36"/>
      <c r="J209" s="36"/>
      <c r="K209" s="3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>
      <c r="A210" s="1"/>
      <c r="B210" s="1"/>
      <c r="C210" s="1"/>
      <c r="D210" s="36"/>
      <c r="E210" s="36"/>
      <c r="F210" s="36"/>
      <c r="G210" s="36"/>
      <c r="H210" s="36"/>
      <c r="I210" s="36"/>
      <c r="J210" s="36"/>
      <c r="K210" s="3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>
      <c r="A211" s="1"/>
      <c r="B211" s="1"/>
      <c r="C211" s="1"/>
      <c r="D211" s="36"/>
      <c r="E211" s="36"/>
      <c r="F211" s="36"/>
      <c r="G211" s="36"/>
      <c r="H211" s="36"/>
      <c r="I211" s="36"/>
      <c r="J211" s="36"/>
      <c r="K211" s="3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>
      <c r="A212" s="1"/>
      <c r="B212" s="1"/>
      <c r="C212" s="1"/>
      <c r="D212" s="36"/>
      <c r="E212" s="36"/>
      <c r="F212" s="36"/>
      <c r="G212" s="36"/>
      <c r="H212" s="36"/>
      <c r="I212" s="36"/>
      <c r="J212" s="36"/>
      <c r="K212" s="3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>
      <c r="A213" s="1"/>
      <c r="B213" s="1"/>
      <c r="C213" s="1"/>
      <c r="D213" s="36"/>
      <c r="E213" s="36"/>
      <c r="F213" s="36"/>
      <c r="G213" s="36"/>
      <c r="H213" s="36"/>
      <c r="I213" s="36"/>
      <c r="J213" s="36"/>
      <c r="K213" s="3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>
      <c r="A214" s="1"/>
      <c r="B214" s="1"/>
      <c r="C214" s="1"/>
      <c r="D214" s="36"/>
      <c r="E214" s="36"/>
      <c r="F214" s="36"/>
      <c r="G214" s="36"/>
      <c r="H214" s="36"/>
      <c r="I214" s="36"/>
      <c r="J214" s="36"/>
      <c r="K214" s="3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>
      <c r="A215" s="1"/>
      <c r="B215" s="1"/>
      <c r="C215" s="1"/>
      <c r="D215" s="36"/>
      <c r="E215" s="36"/>
      <c r="F215" s="36"/>
      <c r="G215" s="36"/>
      <c r="H215" s="36"/>
      <c r="I215" s="36"/>
      <c r="J215" s="36"/>
      <c r="K215" s="3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>
      <c r="A216" s="1"/>
      <c r="B216" s="1"/>
      <c r="C216" s="1"/>
      <c r="D216" s="36"/>
      <c r="E216" s="36"/>
      <c r="F216" s="36"/>
      <c r="G216" s="36"/>
      <c r="H216" s="36"/>
      <c r="I216" s="36"/>
      <c r="J216" s="36"/>
      <c r="K216" s="3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>
      <c r="A217" s="1"/>
      <c r="B217" s="1"/>
      <c r="C217" s="1"/>
      <c r="D217" s="36"/>
      <c r="E217" s="36"/>
      <c r="F217" s="36"/>
      <c r="G217" s="36"/>
      <c r="H217" s="36"/>
      <c r="I217" s="36"/>
      <c r="J217" s="36"/>
      <c r="K217" s="3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>
      <c r="A218" s="1"/>
      <c r="B218" s="1"/>
      <c r="C218" s="1"/>
      <c r="D218" s="36"/>
      <c r="E218" s="36"/>
      <c r="F218" s="36"/>
      <c r="G218" s="36"/>
      <c r="H218" s="36"/>
      <c r="I218" s="36"/>
      <c r="J218" s="36"/>
      <c r="K218" s="3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>
      <c r="A219" s="1"/>
      <c r="B219" s="1"/>
      <c r="C219" s="1"/>
      <c r="D219" s="36"/>
      <c r="E219" s="36"/>
      <c r="F219" s="36"/>
      <c r="G219" s="36"/>
      <c r="H219" s="36"/>
      <c r="I219" s="36"/>
      <c r="J219" s="36"/>
      <c r="K219" s="3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>
      <c r="A220" s="1"/>
      <c r="B220" s="1"/>
      <c r="C220" s="1"/>
      <c r="D220" s="36"/>
      <c r="E220" s="36"/>
      <c r="F220" s="36"/>
      <c r="G220" s="36"/>
      <c r="H220" s="36"/>
      <c r="I220" s="36"/>
      <c r="J220" s="36"/>
      <c r="K220" s="3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>
      <c r="A221" s="1"/>
      <c r="B221" s="1"/>
      <c r="C221" s="1"/>
      <c r="D221" s="36"/>
      <c r="E221" s="36"/>
      <c r="F221" s="36"/>
      <c r="G221" s="36"/>
      <c r="H221" s="36"/>
      <c r="I221" s="36"/>
      <c r="J221" s="36"/>
      <c r="K221" s="3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>
      <c r="A222" s="1"/>
      <c r="B222" s="1"/>
      <c r="C222" s="1"/>
      <c r="D222" s="36"/>
      <c r="E222" s="36"/>
      <c r="F222" s="36"/>
      <c r="G222" s="36"/>
      <c r="H222" s="36"/>
      <c r="I222" s="36"/>
      <c r="J222" s="36"/>
      <c r="K222" s="3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>
      <c r="A223" s="1"/>
      <c r="B223" s="1"/>
      <c r="C223" s="1"/>
      <c r="D223" s="36"/>
      <c r="E223" s="36"/>
      <c r="F223" s="36"/>
      <c r="G223" s="36"/>
      <c r="H223" s="36"/>
      <c r="I223" s="36"/>
      <c r="J223" s="36"/>
      <c r="K223" s="3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>
      <c r="A224" s="1"/>
      <c r="B224" s="1"/>
      <c r="C224" s="1"/>
      <c r="D224" s="36"/>
      <c r="E224" s="36"/>
      <c r="F224" s="36"/>
      <c r="G224" s="36"/>
      <c r="H224" s="36"/>
      <c r="I224" s="36"/>
      <c r="J224" s="36"/>
      <c r="K224" s="3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>
      <c r="A225" s="1"/>
      <c r="B225" s="1"/>
      <c r="C225" s="1"/>
      <c r="D225" s="36"/>
      <c r="E225" s="36"/>
      <c r="F225" s="36"/>
      <c r="G225" s="36"/>
      <c r="H225" s="36"/>
      <c r="I225" s="36"/>
      <c r="J225" s="36"/>
      <c r="K225" s="3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>
      <c r="A226" s="1"/>
      <c r="B226" s="1"/>
      <c r="C226" s="1"/>
      <c r="D226" s="36"/>
      <c r="E226" s="36"/>
      <c r="F226" s="36"/>
      <c r="G226" s="36"/>
      <c r="H226" s="36"/>
      <c r="I226" s="36"/>
      <c r="J226" s="36"/>
      <c r="K226" s="3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>
      <c r="A227" s="1"/>
      <c r="B227" s="1"/>
      <c r="C227" s="1"/>
      <c r="D227" s="36"/>
      <c r="E227" s="36"/>
      <c r="F227" s="36"/>
      <c r="G227" s="36"/>
      <c r="H227" s="36"/>
      <c r="I227" s="36"/>
      <c r="J227" s="36"/>
      <c r="K227" s="3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>
      <c r="A228" s="1"/>
      <c r="B228" s="1"/>
      <c r="C228" s="1"/>
      <c r="D228" s="36"/>
      <c r="E228" s="36"/>
      <c r="F228" s="36"/>
      <c r="G228" s="36"/>
      <c r="H228" s="36"/>
      <c r="I228" s="36"/>
      <c r="J228" s="36"/>
      <c r="K228" s="3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>
      <c r="A229" s="1"/>
      <c r="B229" s="1"/>
      <c r="C229" s="1"/>
      <c r="D229" s="36"/>
      <c r="E229" s="36"/>
      <c r="F229" s="36"/>
      <c r="G229" s="36"/>
      <c r="H229" s="36"/>
      <c r="I229" s="36"/>
      <c r="J229" s="36"/>
      <c r="K229" s="3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>
      <c r="A230" s="1"/>
      <c r="B230" s="1"/>
      <c r="C230" s="1"/>
      <c r="D230" s="36"/>
      <c r="E230" s="36"/>
      <c r="F230" s="36"/>
      <c r="G230" s="36"/>
      <c r="H230" s="36"/>
      <c r="I230" s="36"/>
      <c r="J230" s="36"/>
      <c r="K230" s="3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>
      <c r="A231" s="1"/>
      <c r="B231" s="1"/>
      <c r="C231" s="1"/>
      <c r="D231" s="36"/>
      <c r="E231" s="36"/>
      <c r="F231" s="36"/>
      <c r="G231" s="36"/>
      <c r="H231" s="36"/>
      <c r="I231" s="36"/>
      <c r="J231" s="36"/>
      <c r="K231" s="3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>
      <c r="A232" s="1"/>
      <c r="B232" s="1"/>
      <c r="C232" s="1"/>
      <c r="D232" s="36"/>
      <c r="E232" s="36"/>
      <c r="F232" s="36"/>
      <c r="G232" s="36"/>
      <c r="H232" s="36"/>
      <c r="I232" s="36"/>
      <c r="J232" s="36"/>
      <c r="K232" s="3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>
      <c r="A233" s="1"/>
      <c r="B233" s="1"/>
      <c r="C233" s="1"/>
      <c r="D233" s="36"/>
      <c r="E233" s="36"/>
      <c r="F233" s="36"/>
      <c r="G233" s="36"/>
      <c r="H233" s="36"/>
      <c r="I233" s="36"/>
      <c r="J233" s="36"/>
      <c r="K233" s="3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>
      <c r="A234" s="1"/>
      <c r="B234" s="1"/>
      <c r="C234" s="1"/>
      <c r="D234" s="36"/>
      <c r="E234" s="36"/>
      <c r="F234" s="36"/>
      <c r="G234" s="36"/>
      <c r="H234" s="36"/>
      <c r="I234" s="36"/>
      <c r="J234" s="36"/>
      <c r="K234" s="3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>
      <c r="A235" s="1"/>
      <c r="B235" s="1"/>
      <c r="C235" s="1"/>
      <c r="D235" s="36"/>
      <c r="E235" s="36"/>
      <c r="F235" s="36"/>
      <c r="G235" s="36"/>
      <c r="H235" s="36"/>
      <c r="I235" s="36"/>
      <c r="J235" s="36"/>
      <c r="K235" s="3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>
      <c r="A236" s="1"/>
      <c r="B236" s="1"/>
      <c r="C236" s="1"/>
      <c r="D236" s="36"/>
      <c r="E236" s="36"/>
      <c r="F236" s="36"/>
      <c r="G236" s="36"/>
      <c r="H236" s="36"/>
      <c r="I236" s="36"/>
      <c r="J236" s="36"/>
      <c r="K236" s="3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>
      <c r="A237" s="1"/>
      <c r="B237" s="1"/>
      <c r="C237" s="1"/>
      <c r="D237" s="36"/>
      <c r="E237" s="36"/>
      <c r="F237" s="36"/>
      <c r="G237" s="36"/>
      <c r="H237" s="36"/>
      <c r="I237" s="36"/>
      <c r="J237" s="36"/>
      <c r="K237" s="3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>
      <c r="A238" s="1"/>
      <c r="B238" s="1"/>
      <c r="C238" s="1"/>
      <c r="D238" s="36"/>
      <c r="E238" s="36"/>
      <c r="F238" s="36"/>
      <c r="G238" s="36"/>
      <c r="H238" s="36"/>
      <c r="I238" s="36"/>
      <c r="J238" s="36"/>
      <c r="K238" s="3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>
      <c r="A239" s="1"/>
      <c r="B239" s="1"/>
      <c r="C239" s="1"/>
      <c r="D239" s="36"/>
      <c r="E239" s="36"/>
      <c r="F239" s="36"/>
      <c r="G239" s="36"/>
      <c r="H239" s="36"/>
      <c r="I239" s="36"/>
      <c r="J239" s="36"/>
      <c r="K239" s="3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>
      <c r="A240" s="1"/>
      <c r="B240" s="1"/>
      <c r="C240" s="1"/>
      <c r="D240" s="36"/>
      <c r="E240" s="36"/>
      <c r="F240" s="36"/>
      <c r="G240" s="36"/>
      <c r="H240" s="36"/>
      <c r="I240" s="36"/>
      <c r="J240" s="36"/>
      <c r="K240" s="3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>
      <c r="A241" s="1"/>
      <c r="B241" s="1"/>
      <c r="C241" s="1"/>
      <c r="D241" s="36"/>
      <c r="E241" s="36"/>
      <c r="F241" s="36"/>
      <c r="G241" s="36"/>
      <c r="H241" s="36"/>
      <c r="I241" s="36"/>
      <c r="J241" s="36"/>
      <c r="K241" s="3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>
      <c r="A242" s="1"/>
      <c r="B242" s="1"/>
      <c r="C242" s="1"/>
      <c r="D242" s="36"/>
      <c r="E242" s="36"/>
      <c r="F242" s="36"/>
      <c r="G242" s="36"/>
      <c r="H242" s="36"/>
      <c r="I242" s="36"/>
      <c r="J242" s="36"/>
      <c r="K242" s="3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>
      <c r="A243" s="1"/>
      <c r="B243" s="1"/>
      <c r="C243" s="1"/>
      <c r="D243" s="36"/>
      <c r="E243" s="36"/>
      <c r="F243" s="36"/>
      <c r="G243" s="36"/>
      <c r="H243" s="36"/>
      <c r="I243" s="36"/>
      <c r="J243" s="36"/>
      <c r="K243" s="3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>
      <c r="A244" s="1"/>
      <c r="B244" s="1"/>
      <c r="C244" s="1"/>
      <c r="D244" s="36"/>
      <c r="E244" s="36"/>
      <c r="F244" s="36"/>
      <c r="G244" s="36"/>
      <c r="H244" s="36"/>
      <c r="I244" s="36"/>
      <c r="J244" s="36"/>
      <c r="K244" s="3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>
      <c r="A245" s="1"/>
      <c r="B245" s="1"/>
      <c r="C245" s="1"/>
      <c r="D245" s="36"/>
      <c r="E245" s="36"/>
      <c r="F245" s="36"/>
      <c r="G245" s="36"/>
      <c r="H245" s="36"/>
      <c r="I245" s="36"/>
      <c r="J245" s="36"/>
      <c r="K245" s="3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>
      <c r="A246" s="1"/>
      <c r="B246" s="1"/>
      <c r="C246" s="1"/>
      <c r="D246" s="36"/>
      <c r="E246" s="36"/>
      <c r="F246" s="36"/>
      <c r="G246" s="36"/>
      <c r="H246" s="36"/>
      <c r="I246" s="36"/>
      <c r="J246" s="36"/>
      <c r="K246" s="36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>
      <c r="A247" s="1"/>
      <c r="B247" s="1"/>
      <c r="C247" s="1"/>
      <c r="D247" s="36"/>
      <c r="E247" s="36"/>
      <c r="F247" s="36"/>
      <c r="G247" s="36"/>
      <c r="H247" s="36"/>
      <c r="I247" s="36"/>
      <c r="J247" s="36"/>
      <c r="K247" s="36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>
      <c r="A248" s="1"/>
      <c r="B248" s="1"/>
      <c r="C248" s="1"/>
      <c r="D248" s="36"/>
      <c r="E248" s="36"/>
      <c r="F248" s="36"/>
      <c r="G248" s="36"/>
      <c r="H248" s="36"/>
      <c r="I248" s="36"/>
      <c r="J248" s="36"/>
      <c r="K248" s="36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>
      <c r="A249" s="1"/>
      <c r="B249" s="1"/>
      <c r="C249" s="1"/>
      <c r="D249" s="36"/>
      <c r="E249" s="36"/>
      <c r="F249" s="36"/>
      <c r="G249" s="36"/>
      <c r="H249" s="36"/>
      <c r="I249" s="36"/>
      <c r="J249" s="36"/>
      <c r="K249" s="3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>
      <c r="A250" s="1"/>
      <c r="B250" s="1"/>
      <c r="C250" s="1"/>
      <c r="D250" s="36"/>
      <c r="E250" s="36"/>
      <c r="F250" s="36"/>
      <c r="G250" s="36"/>
      <c r="H250" s="36"/>
      <c r="I250" s="36"/>
      <c r="J250" s="36"/>
      <c r="K250" s="36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>
      <c r="A251" s="1"/>
      <c r="B251" s="1"/>
      <c r="C251" s="1"/>
      <c r="D251" s="36"/>
      <c r="E251" s="36"/>
      <c r="F251" s="36"/>
      <c r="G251" s="36"/>
      <c r="H251" s="36"/>
      <c r="I251" s="36"/>
      <c r="J251" s="36"/>
      <c r="K251" s="36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>
      <c r="A252" s="1"/>
      <c r="B252" s="1"/>
      <c r="C252" s="1"/>
      <c r="D252" s="36"/>
      <c r="E252" s="36"/>
      <c r="F252" s="36"/>
      <c r="G252" s="36"/>
      <c r="H252" s="36"/>
      <c r="I252" s="36"/>
      <c r="J252" s="36"/>
      <c r="K252" s="36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>
      <c r="A253" s="1"/>
      <c r="B253" s="1"/>
      <c r="C253" s="1"/>
      <c r="D253" s="36"/>
      <c r="E253" s="36"/>
      <c r="F253" s="36"/>
      <c r="G253" s="36"/>
      <c r="H253" s="36"/>
      <c r="I253" s="36"/>
      <c r="J253" s="36"/>
      <c r="K253" s="36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>
      <c r="A254" s="1"/>
      <c r="B254" s="1"/>
      <c r="C254" s="1"/>
      <c r="D254" s="36"/>
      <c r="E254" s="36"/>
      <c r="F254" s="36"/>
      <c r="G254" s="36"/>
      <c r="H254" s="36"/>
      <c r="I254" s="36"/>
      <c r="J254" s="36"/>
      <c r="K254" s="36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>
      <c r="A255" s="1"/>
      <c r="B255" s="1"/>
      <c r="C255" s="1"/>
      <c r="D255" s="36"/>
      <c r="E255" s="36"/>
      <c r="F255" s="36"/>
      <c r="G255" s="36"/>
      <c r="H255" s="36"/>
      <c r="I255" s="36"/>
      <c r="J255" s="36"/>
      <c r="K255" s="36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>
      <c r="A256" s="1"/>
      <c r="B256" s="1"/>
      <c r="C256" s="1"/>
      <c r="D256" s="36"/>
      <c r="E256" s="36"/>
      <c r="F256" s="36"/>
      <c r="G256" s="36"/>
      <c r="H256" s="36"/>
      <c r="I256" s="36"/>
      <c r="J256" s="36"/>
      <c r="K256" s="36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>
      <c r="A257" s="1"/>
      <c r="B257" s="1"/>
      <c r="C257" s="1"/>
      <c r="D257" s="36"/>
      <c r="E257" s="36"/>
      <c r="F257" s="36"/>
      <c r="G257" s="36"/>
      <c r="H257" s="36"/>
      <c r="I257" s="36"/>
      <c r="J257" s="36"/>
      <c r="K257" s="36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>
      <c r="A258" s="1"/>
      <c r="B258" s="1"/>
      <c r="C258" s="1"/>
      <c r="D258" s="36"/>
      <c r="E258" s="36"/>
      <c r="F258" s="36"/>
      <c r="G258" s="36"/>
      <c r="H258" s="36"/>
      <c r="I258" s="36"/>
      <c r="J258" s="36"/>
      <c r="K258" s="3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>
      <c r="A259" s="1"/>
      <c r="B259" s="1"/>
      <c r="C259" s="1"/>
      <c r="D259" s="36"/>
      <c r="E259" s="36"/>
      <c r="F259" s="36"/>
      <c r="G259" s="36"/>
      <c r="H259" s="36"/>
      <c r="I259" s="36"/>
      <c r="J259" s="36"/>
      <c r="K259" s="36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>
      <c r="A260" s="1"/>
      <c r="B260" s="1"/>
      <c r="C260" s="1"/>
      <c r="D260" s="36"/>
      <c r="E260" s="36"/>
      <c r="F260" s="36"/>
      <c r="G260" s="36"/>
      <c r="H260" s="36"/>
      <c r="I260" s="36"/>
      <c r="J260" s="36"/>
      <c r="K260" s="36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>
      <c r="A261" s="1"/>
      <c r="B261" s="1"/>
      <c r="C261" s="1"/>
      <c r="D261" s="36"/>
      <c r="E261" s="36"/>
      <c r="F261" s="36"/>
      <c r="G261" s="36"/>
      <c r="H261" s="36"/>
      <c r="I261" s="36"/>
      <c r="J261" s="36"/>
      <c r="K261" s="36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>
      <c r="A262" s="1"/>
      <c r="B262" s="1"/>
      <c r="C262" s="1"/>
      <c r="D262" s="36"/>
      <c r="E262" s="36"/>
      <c r="F262" s="36"/>
      <c r="G262" s="36"/>
      <c r="H262" s="36"/>
      <c r="I262" s="36"/>
      <c r="J262" s="36"/>
      <c r="K262" s="3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>
      <c r="A263" s="1"/>
      <c r="B263" s="1"/>
      <c r="C263" s="1"/>
      <c r="D263" s="36"/>
      <c r="E263" s="36"/>
      <c r="F263" s="36"/>
      <c r="G263" s="36"/>
      <c r="H263" s="36"/>
      <c r="I263" s="36"/>
      <c r="J263" s="36"/>
      <c r="K263" s="36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>
      <c r="A264" s="1"/>
      <c r="B264" s="1"/>
      <c r="C264" s="1"/>
      <c r="D264" s="36"/>
      <c r="E264" s="36"/>
      <c r="F264" s="36"/>
      <c r="G264" s="36"/>
      <c r="H264" s="36"/>
      <c r="I264" s="36"/>
      <c r="J264" s="36"/>
      <c r="K264" s="36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>
      <c r="A265" s="1"/>
      <c r="B265" s="1"/>
      <c r="C265" s="1"/>
      <c r="D265" s="36"/>
      <c r="E265" s="36"/>
      <c r="F265" s="36"/>
      <c r="G265" s="36"/>
      <c r="H265" s="36"/>
      <c r="I265" s="36"/>
      <c r="J265" s="36"/>
      <c r="K265" s="36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>
      <c r="A266" s="1"/>
      <c r="B266" s="1"/>
      <c r="C266" s="1"/>
      <c r="D266" s="36"/>
      <c r="E266" s="36"/>
      <c r="F266" s="36"/>
      <c r="G266" s="36"/>
      <c r="H266" s="36"/>
      <c r="I266" s="36"/>
      <c r="J266" s="36"/>
      <c r="K266" s="36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>
      <c r="A267" s="1"/>
      <c r="B267" s="1"/>
      <c r="C267" s="1"/>
      <c r="D267" s="36"/>
      <c r="E267" s="36"/>
      <c r="F267" s="36"/>
      <c r="G267" s="36"/>
      <c r="H267" s="36"/>
      <c r="I267" s="36"/>
      <c r="J267" s="36"/>
      <c r="K267" s="3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>
      <c r="A268" s="1"/>
      <c r="B268" s="1"/>
      <c r="C268" s="1"/>
      <c r="D268" s="36"/>
      <c r="E268" s="36"/>
      <c r="F268" s="36"/>
      <c r="G268" s="36"/>
      <c r="H268" s="36"/>
      <c r="I268" s="36"/>
      <c r="J268" s="36"/>
      <c r="K268" s="36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>
      <c r="A269" s="1"/>
      <c r="B269" s="1"/>
      <c r="C269" s="1"/>
      <c r="D269" s="36"/>
      <c r="E269" s="36"/>
      <c r="F269" s="36"/>
      <c r="G269" s="36"/>
      <c r="H269" s="36"/>
      <c r="I269" s="36"/>
      <c r="J269" s="36"/>
      <c r="K269" s="36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>
      <c r="A270" s="1"/>
      <c r="B270" s="1"/>
      <c r="C270" s="1"/>
      <c r="D270" s="36"/>
      <c r="E270" s="36"/>
      <c r="F270" s="36"/>
      <c r="G270" s="36"/>
      <c r="H270" s="36"/>
      <c r="I270" s="36"/>
      <c r="J270" s="36"/>
      <c r="K270" s="36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>
      <c r="A271" s="1"/>
      <c r="B271" s="1"/>
      <c r="C271" s="1"/>
      <c r="D271" s="36"/>
      <c r="E271" s="36"/>
      <c r="F271" s="36"/>
      <c r="G271" s="36"/>
      <c r="H271" s="36"/>
      <c r="I271" s="36"/>
      <c r="J271" s="36"/>
      <c r="K271" s="36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>
      <c r="A272" s="1"/>
      <c r="B272" s="1"/>
      <c r="C272" s="1"/>
      <c r="D272" s="36"/>
      <c r="E272" s="36"/>
      <c r="F272" s="36"/>
      <c r="G272" s="36"/>
      <c r="H272" s="36"/>
      <c r="I272" s="36"/>
      <c r="J272" s="36"/>
      <c r="K272" s="36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>
      <c r="A273" s="1"/>
      <c r="B273" s="1"/>
      <c r="C273" s="1"/>
      <c r="D273" s="36"/>
      <c r="E273" s="36"/>
      <c r="F273" s="36"/>
      <c r="G273" s="36"/>
      <c r="H273" s="36"/>
      <c r="I273" s="36"/>
      <c r="J273" s="36"/>
      <c r="K273" s="36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>
      <c r="A274" s="1"/>
      <c r="B274" s="1"/>
      <c r="C274" s="1"/>
      <c r="D274" s="36"/>
      <c r="E274" s="36"/>
      <c r="F274" s="36"/>
      <c r="G274" s="36"/>
      <c r="H274" s="36"/>
      <c r="I274" s="36"/>
      <c r="J274" s="36"/>
      <c r="K274" s="36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>
      <c r="A275" s="1"/>
      <c r="B275" s="1"/>
      <c r="C275" s="1"/>
      <c r="D275" s="36"/>
      <c r="E275" s="36"/>
      <c r="F275" s="36"/>
      <c r="G275" s="36"/>
      <c r="H275" s="36"/>
      <c r="I275" s="36"/>
      <c r="J275" s="36"/>
      <c r="K275" s="36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>
      <c r="A276" s="1"/>
      <c r="B276" s="1"/>
      <c r="C276" s="1"/>
      <c r="D276" s="36"/>
      <c r="E276" s="36"/>
      <c r="F276" s="36"/>
      <c r="G276" s="36"/>
      <c r="H276" s="36"/>
      <c r="I276" s="36"/>
      <c r="J276" s="36"/>
      <c r="K276" s="36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>
      <c r="A277" s="1"/>
      <c r="B277" s="1"/>
      <c r="C277" s="1"/>
      <c r="D277" s="36"/>
      <c r="E277" s="36"/>
      <c r="F277" s="36"/>
      <c r="G277" s="36"/>
      <c r="H277" s="36"/>
      <c r="I277" s="36"/>
      <c r="J277" s="36"/>
      <c r="K277" s="36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>
      <c r="A278" s="1"/>
      <c r="B278" s="1"/>
      <c r="C278" s="1"/>
      <c r="D278" s="36"/>
      <c r="E278" s="36"/>
      <c r="F278" s="36"/>
      <c r="G278" s="36"/>
      <c r="H278" s="36"/>
      <c r="I278" s="36"/>
      <c r="J278" s="36"/>
      <c r="K278" s="36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>
      <c r="A279" s="1"/>
      <c r="B279" s="1"/>
      <c r="C279" s="1"/>
      <c r="D279" s="36"/>
      <c r="E279" s="36"/>
      <c r="F279" s="36"/>
      <c r="G279" s="36"/>
      <c r="H279" s="36"/>
      <c r="I279" s="36"/>
      <c r="J279" s="36"/>
      <c r="K279" s="36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>
      <c r="A280" s="1"/>
      <c r="B280" s="1"/>
      <c r="C280" s="1"/>
      <c r="D280" s="36"/>
      <c r="E280" s="36"/>
      <c r="F280" s="36"/>
      <c r="G280" s="36"/>
      <c r="H280" s="36"/>
      <c r="I280" s="36"/>
      <c r="J280" s="36"/>
      <c r="K280" s="3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>
      <c r="A281" s="1"/>
      <c r="B281" s="1"/>
      <c r="C281" s="1"/>
      <c r="D281" s="36"/>
      <c r="E281" s="36"/>
      <c r="F281" s="36"/>
      <c r="G281" s="36"/>
      <c r="H281" s="36"/>
      <c r="I281" s="36"/>
      <c r="J281" s="36"/>
      <c r="K281" s="36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>
      <c r="A282" s="1"/>
      <c r="B282" s="1"/>
      <c r="C282" s="1"/>
      <c r="D282" s="36"/>
      <c r="E282" s="36"/>
      <c r="F282" s="36"/>
      <c r="G282" s="36"/>
      <c r="H282" s="36"/>
      <c r="I282" s="36"/>
      <c r="J282" s="36"/>
      <c r="K282" s="36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>
      <c r="A283" s="1"/>
      <c r="B283" s="1"/>
      <c r="C283" s="1"/>
      <c r="D283" s="36"/>
      <c r="E283" s="36"/>
      <c r="F283" s="36"/>
      <c r="G283" s="36"/>
      <c r="H283" s="36"/>
      <c r="I283" s="36"/>
      <c r="J283" s="36"/>
      <c r="K283" s="36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>
      <c r="A284" s="1"/>
      <c r="B284" s="1"/>
      <c r="C284" s="1"/>
      <c r="D284" s="36"/>
      <c r="E284" s="36"/>
      <c r="F284" s="36"/>
      <c r="G284" s="36"/>
      <c r="H284" s="36"/>
      <c r="I284" s="36"/>
      <c r="J284" s="36"/>
      <c r="K284" s="3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>
      <c r="A285" s="1"/>
      <c r="B285" s="1"/>
      <c r="C285" s="1"/>
      <c r="D285" s="36"/>
      <c r="E285" s="36"/>
      <c r="F285" s="36"/>
      <c r="G285" s="36"/>
      <c r="H285" s="36"/>
      <c r="I285" s="36"/>
      <c r="J285" s="36"/>
      <c r="K285" s="36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>
      <c r="A286" s="1"/>
      <c r="B286" s="1"/>
      <c r="C286" s="1"/>
      <c r="D286" s="36"/>
      <c r="E286" s="36"/>
      <c r="F286" s="36"/>
      <c r="G286" s="36"/>
      <c r="H286" s="36"/>
      <c r="I286" s="36"/>
      <c r="J286" s="36"/>
      <c r="K286" s="36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>
      <c r="A287" s="1"/>
      <c r="B287" s="1"/>
      <c r="C287" s="1"/>
      <c r="D287" s="36"/>
      <c r="E287" s="36"/>
      <c r="F287" s="36"/>
      <c r="G287" s="36"/>
      <c r="H287" s="36"/>
      <c r="I287" s="36"/>
      <c r="J287" s="36"/>
      <c r="K287" s="36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>
      <c r="A288" s="1"/>
      <c r="B288" s="1"/>
      <c r="C288" s="1"/>
      <c r="D288" s="36"/>
      <c r="E288" s="36"/>
      <c r="F288" s="36"/>
      <c r="G288" s="36"/>
      <c r="H288" s="36"/>
      <c r="I288" s="36"/>
      <c r="J288" s="36"/>
      <c r="K288" s="3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>
      <c r="A289" s="1"/>
      <c r="B289" s="1"/>
      <c r="C289" s="1"/>
      <c r="D289" s="36"/>
      <c r="E289" s="36"/>
      <c r="F289" s="36"/>
      <c r="G289" s="36"/>
      <c r="H289" s="36"/>
      <c r="I289" s="36"/>
      <c r="J289" s="36"/>
      <c r="K289" s="36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>
      <c r="A290" s="1"/>
      <c r="B290" s="1"/>
      <c r="C290" s="1"/>
      <c r="D290" s="36"/>
      <c r="E290" s="36"/>
      <c r="F290" s="36"/>
      <c r="G290" s="36"/>
      <c r="H290" s="36"/>
      <c r="I290" s="36"/>
      <c r="J290" s="36"/>
      <c r="K290" s="36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>
      <c r="A291" s="1"/>
      <c r="B291" s="1"/>
      <c r="C291" s="1"/>
      <c r="D291" s="36"/>
      <c r="E291" s="36"/>
      <c r="F291" s="36"/>
      <c r="G291" s="36"/>
      <c r="H291" s="36"/>
      <c r="I291" s="36"/>
      <c r="J291" s="36"/>
      <c r="K291" s="36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>
      <c r="A292" s="1"/>
      <c r="B292" s="1"/>
      <c r="C292" s="1"/>
      <c r="D292" s="36"/>
      <c r="E292" s="36"/>
      <c r="F292" s="36"/>
      <c r="G292" s="36"/>
      <c r="H292" s="36"/>
      <c r="I292" s="36"/>
      <c r="J292" s="36"/>
      <c r="K292" s="3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>
      <c r="A293" s="1"/>
      <c r="B293" s="1"/>
      <c r="C293" s="1"/>
      <c r="D293" s="36"/>
      <c r="E293" s="36"/>
      <c r="F293" s="36"/>
      <c r="G293" s="36"/>
      <c r="H293" s="36"/>
      <c r="I293" s="36"/>
      <c r="J293" s="36"/>
      <c r="K293" s="36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>
      <c r="A294" s="1"/>
      <c r="B294" s="1"/>
      <c r="C294" s="1"/>
      <c r="D294" s="36"/>
      <c r="E294" s="36"/>
      <c r="F294" s="36"/>
      <c r="G294" s="36"/>
      <c r="H294" s="36"/>
      <c r="I294" s="36"/>
      <c r="J294" s="36"/>
      <c r="K294" s="36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>
      <c r="A295" s="1"/>
      <c r="B295" s="1"/>
      <c r="C295" s="1"/>
      <c r="D295" s="36"/>
      <c r="E295" s="36"/>
      <c r="F295" s="36"/>
      <c r="G295" s="36"/>
      <c r="H295" s="36"/>
      <c r="I295" s="36"/>
      <c r="J295" s="36"/>
      <c r="K295" s="36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>
      <c r="A296" s="1"/>
      <c r="B296" s="1"/>
      <c r="C296" s="1"/>
      <c r="D296" s="36"/>
      <c r="E296" s="36"/>
      <c r="F296" s="36"/>
      <c r="G296" s="36"/>
      <c r="H296" s="36"/>
      <c r="I296" s="36"/>
      <c r="J296" s="36"/>
      <c r="K296" s="3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>
      <c r="A297" s="1"/>
      <c r="B297" s="1"/>
      <c r="C297" s="1"/>
      <c r="D297" s="36"/>
      <c r="E297" s="36"/>
      <c r="F297" s="36"/>
      <c r="G297" s="36"/>
      <c r="H297" s="36"/>
      <c r="I297" s="36"/>
      <c r="J297" s="36"/>
      <c r="K297" s="36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>
      <c r="A298" s="1"/>
      <c r="B298" s="1"/>
      <c r="C298" s="1"/>
      <c r="D298" s="36"/>
      <c r="E298" s="36"/>
      <c r="F298" s="36"/>
      <c r="G298" s="36"/>
      <c r="H298" s="36"/>
      <c r="I298" s="36"/>
      <c r="J298" s="36"/>
      <c r="K298" s="3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>
      <c r="A299" s="1"/>
      <c r="B299" s="1"/>
      <c r="C299" s="1"/>
      <c r="D299" s="36"/>
      <c r="E299" s="36"/>
      <c r="F299" s="36"/>
      <c r="G299" s="36"/>
      <c r="H299" s="36"/>
      <c r="I299" s="36"/>
      <c r="J299" s="36"/>
      <c r="K299" s="36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>
      <c r="A300" s="1"/>
      <c r="B300" s="1"/>
      <c r="C300" s="1"/>
      <c r="D300" s="36"/>
      <c r="E300" s="36"/>
      <c r="F300" s="36"/>
      <c r="G300" s="36"/>
      <c r="H300" s="36"/>
      <c r="I300" s="36"/>
      <c r="J300" s="36"/>
      <c r="K300" s="3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>
      <c r="A301" s="1"/>
      <c r="B301" s="1"/>
      <c r="C301" s="1"/>
      <c r="D301" s="36"/>
      <c r="E301" s="36"/>
      <c r="F301" s="36"/>
      <c r="G301" s="36"/>
      <c r="H301" s="36"/>
      <c r="I301" s="36"/>
      <c r="J301" s="36"/>
      <c r="K301" s="36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>
      <c r="A302" s="1"/>
      <c r="B302" s="1"/>
      <c r="C302" s="1"/>
      <c r="D302" s="36"/>
      <c r="E302" s="36"/>
      <c r="F302" s="36"/>
      <c r="G302" s="36"/>
      <c r="H302" s="36"/>
      <c r="I302" s="36"/>
      <c r="J302" s="36"/>
      <c r="K302" s="36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>
      <c r="A303" s="1"/>
      <c r="B303" s="1"/>
      <c r="C303" s="1"/>
      <c r="D303" s="36"/>
      <c r="E303" s="36"/>
      <c r="F303" s="36"/>
      <c r="G303" s="36"/>
      <c r="H303" s="36"/>
      <c r="I303" s="36"/>
      <c r="J303" s="36"/>
      <c r="K303" s="36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>
      <c r="A304" s="1"/>
      <c r="B304" s="1"/>
      <c r="C304" s="1"/>
      <c r="D304" s="36"/>
      <c r="E304" s="36"/>
      <c r="F304" s="36"/>
      <c r="G304" s="36"/>
      <c r="H304" s="36"/>
      <c r="I304" s="36"/>
      <c r="J304" s="36"/>
      <c r="K304" s="36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>
      <c r="A305" s="1"/>
      <c r="B305" s="1"/>
      <c r="C305" s="1"/>
      <c r="D305" s="36"/>
      <c r="E305" s="36"/>
      <c r="F305" s="36"/>
      <c r="G305" s="36"/>
      <c r="H305" s="36"/>
      <c r="I305" s="36"/>
      <c r="J305" s="36"/>
      <c r="K305" s="36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>
      <c r="A306" s="1"/>
      <c r="B306" s="1"/>
      <c r="C306" s="1"/>
      <c r="D306" s="36"/>
      <c r="E306" s="36"/>
      <c r="F306" s="36"/>
      <c r="G306" s="36"/>
      <c r="H306" s="36"/>
      <c r="I306" s="36"/>
      <c r="J306" s="36"/>
      <c r="K306" s="36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>
      <c r="A307" s="1"/>
      <c r="B307" s="1"/>
      <c r="C307" s="1"/>
      <c r="D307" s="36"/>
      <c r="E307" s="36"/>
      <c r="F307" s="36"/>
      <c r="G307" s="36"/>
      <c r="H307" s="36"/>
      <c r="I307" s="36"/>
      <c r="J307" s="36"/>
      <c r="K307" s="36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>
      <c r="A308" s="1"/>
      <c r="B308" s="1"/>
      <c r="C308" s="1"/>
      <c r="D308" s="36"/>
      <c r="E308" s="36"/>
      <c r="F308" s="36"/>
      <c r="G308" s="36"/>
      <c r="H308" s="36"/>
      <c r="I308" s="36"/>
      <c r="J308" s="36"/>
      <c r="K308" s="36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>
      <c r="A309" s="1"/>
      <c r="B309" s="1"/>
      <c r="C309" s="1"/>
      <c r="D309" s="36"/>
      <c r="E309" s="36"/>
      <c r="F309" s="36"/>
      <c r="G309" s="36"/>
      <c r="H309" s="36"/>
      <c r="I309" s="36"/>
      <c r="J309" s="36"/>
      <c r="K309" s="36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>
      <c r="A310" s="1"/>
      <c r="B310" s="1"/>
      <c r="C310" s="1"/>
      <c r="D310" s="36"/>
      <c r="E310" s="36"/>
      <c r="F310" s="36"/>
      <c r="G310" s="36"/>
      <c r="H310" s="36"/>
      <c r="I310" s="36"/>
      <c r="J310" s="36"/>
      <c r="K310" s="36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>
      <c r="A311" s="1"/>
      <c r="B311" s="1"/>
      <c r="C311" s="1"/>
      <c r="D311" s="36"/>
      <c r="E311" s="36"/>
      <c r="F311" s="36"/>
      <c r="G311" s="36"/>
      <c r="H311" s="36"/>
      <c r="I311" s="36"/>
      <c r="J311" s="36"/>
      <c r="K311" s="36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>
      <c r="A312" s="1"/>
      <c r="B312" s="1"/>
      <c r="C312" s="1"/>
      <c r="D312" s="36"/>
      <c r="E312" s="36"/>
      <c r="F312" s="36"/>
      <c r="G312" s="36"/>
      <c r="H312" s="36"/>
      <c r="I312" s="36"/>
      <c r="J312" s="36"/>
      <c r="K312" s="36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>
      <c r="A313" s="1"/>
      <c r="B313" s="1"/>
      <c r="C313" s="1"/>
      <c r="D313" s="36"/>
      <c r="E313" s="36"/>
      <c r="F313" s="36"/>
      <c r="G313" s="36"/>
      <c r="H313" s="36"/>
      <c r="I313" s="36"/>
      <c r="J313" s="36"/>
      <c r="K313" s="36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>
      <c r="A314" s="1"/>
      <c r="B314" s="1"/>
      <c r="C314" s="1"/>
      <c r="D314" s="36"/>
      <c r="E314" s="36"/>
      <c r="F314" s="36"/>
      <c r="G314" s="36"/>
      <c r="H314" s="36"/>
      <c r="I314" s="36"/>
      <c r="J314" s="36"/>
      <c r="K314" s="36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/>
    <row r="316" spans="1:36" ht="15.75" customHeight="1"/>
    <row r="317" spans="1:36" ht="15.75" customHeight="1"/>
    <row r="318" spans="1:36" ht="15.75" customHeight="1"/>
    <row r="319" spans="1:36" ht="15.75" customHeight="1"/>
    <row r="320" spans="1:3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autoFilter ref="A2:Y117" xr:uid="{00000000-0001-0000-0000-000000000000}"/>
  <mergeCells count="12">
    <mergeCell ref="V1:Y1"/>
    <mergeCell ref="Z1:Z2"/>
    <mergeCell ref="A117:E117"/>
    <mergeCell ref="A1:E1"/>
    <mergeCell ref="F1:H1"/>
    <mergeCell ref="I1:K1"/>
    <mergeCell ref="L1:U1"/>
    <mergeCell ref="B50:E50"/>
    <mergeCell ref="B72:E72"/>
    <mergeCell ref="B84:E84"/>
    <mergeCell ref="B116:E116"/>
    <mergeCell ref="B24:C24"/>
  </mergeCells>
  <phoneticPr fontId="9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FB25-0D6E-4095-85CD-F02947231920}">
  <dimension ref="A3:AE51"/>
  <sheetViews>
    <sheetView zoomScale="87" workbookViewId="0">
      <selection activeCell="B33" sqref="B33"/>
    </sheetView>
  </sheetViews>
  <sheetFormatPr defaultRowHeight="11.65"/>
  <cols>
    <col min="1" max="17" width="9.06640625" style="79"/>
    <col min="18" max="18" width="9.1328125" style="79" bestFit="1" customWidth="1"/>
    <col min="19" max="19" width="9.06640625" style="79"/>
    <col min="20" max="20" width="11" style="79" bestFit="1" customWidth="1"/>
    <col min="21" max="22" width="9.06640625" style="79"/>
    <col min="23" max="23" width="9.1328125" style="79" bestFit="1" customWidth="1"/>
    <col min="24" max="24" width="9.06640625" style="79"/>
    <col min="25" max="25" width="13.1328125" style="79" bestFit="1" customWidth="1"/>
    <col min="26" max="16384" width="9.06640625" style="79"/>
  </cols>
  <sheetData>
    <row r="3" spans="1:31">
      <c r="B3" s="118"/>
      <c r="C3" s="118"/>
      <c r="D3" s="118"/>
      <c r="G3" s="118"/>
      <c r="H3" s="118"/>
      <c r="I3" s="118"/>
      <c r="L3" s="118"/>
      <c r="M3" s="118"/>
      <c r="N3" s="118"/>
      <c r="O3" s="80"/>
      <c r="Q3" s="118" t="s">
        <v>465</v>
      </c>
      <c r="R3" s="118"/>
      <c r="S3" s="118"/>
      <c r="V3" s="118" t="s">
        <v>465</v>
      </c>
      <c r="W3" s="118"/>
      <c r="X3" s="118"/>
      <c r="AA3" s="118" t="s">
        <v>465</v>
      </c>
      <c r="AB3" s="118"/>
      <c r="AC3" s="118"/>
    </row>
    <row r="4" spans="1:31">
      <c r="B4" s="80" t="s">
        <v>334</v>
      </c>
      <c r="C4" s="80" t="s">
        <v>267</v>
      </c>
      <c r="D4" s="80" t="s">
        <v>274</v>
      </c>
      <c r="G4" s="80" t="s">
        <v>334</v>
      </c>
      <c r="H4" s="80" t="s">
        <v>267</v>
      </c>
      <c r="I4" s="80" t="s">
        <v>274</v>
      </c>
      <c r="L4" s="80" t="s">
        <v>334</v>
      </c>
      <c r="M4" s="80" t="s">
        <v>267</v>
      </c>
      <c r="N4" s="80" t="s">
        <v>274</v>
      </c>
      <c r="O4" s="80"/>
      <c r="Q4" s="80" t="s">
        <v>334</v>
      </c>
      <c r="R4" s="80" t="s">
        <v>267</v>
      </c>
      <c r="S4" s="80" t="s">
        <v>274</v>
      </c>
      <c r="T4" s="79" t="s">
        <v>456</v>
      </c>
      <c r="V4" s="80" t="s">
        <v>334</v>
      </c>
      <c r="W4" s="80" t="s">
        <v>267</v>
      </c>
      <c r="X4" s="80" t="s">
        <v>274</v>
      </c>
      <c r="Y4" s="79" t="s">
        <v>456</v>
      </c>
      <c r="AA4" s="80" t="s">
        <v>334</v>
      </c>
      <c r="AB4" s="80" t="s">
        <v>267</v>
      </c>
      <c r="AC4" s="80" t="s">
        <v>274</v>
      </c>
      <c r="AD4" s="79" t="s">
        <v>436</v>
      </c>
      <c r="AE4" s="79" t="s">
        <v>437</v>
      </c>
    </row>
    <row r="5" spans="1:31">
      <c r="A5" s="79">
        <v>1</v>
      </c>
      <c r="B5" s="80" t="s">
        <v>336</v>
      </c>
      <c r="C5" s="80" t="s">
        <v>341</v>
      </c>
      <c r="D5" s="80" t="s">
        <v>343</v>
      </c>
      <c r="F5" s="79">
        <v>1</v>
      </c>
      <c r="G5" s="80" t="s">
        <v>350</v>
      </c>
      <c r="H5" s="80" t="s">
        <v>356</v>
      </c>
      <c r="I5" s="80" t="s">
        <v>357</v>
      </c>
      <c r="K5" s="79">
        <v>1</v>
      </c>
      <c r="L5" s="80" t="s">
        <v>336</v>
      </c>
      <c r="M5" s="80" t="s">
        <v>371</v>
      </c>
      <c r="N5" s="80" t="s">
        <v>374</v>
      </c>
      <c r="O5" s="80"/>
      <c r="P5" s="79">
        <v>1</v>
      </c>
      <c r="Q5" s="80" t="s">
        <v>380</v>
      </c>
      <c r="R5" s="80" t="s">
        <v>266</v>
      </c>
      <c r="S5" s="80" t="s">
        <v>417</v>
      </c>
      <c r="U5" s="79">
        <v>1</v>
      </c>
      <c r="V5" s="80" t="s">
        <v>398</v>
      </c>
      <c r="W5" s="80" t="s">
        <v>362</v>
      </c>
      <c r="X5" s="80" t="s">
        <v>459</v>
      </c>
      <c r="Y5" s="79" t="s">
        <v>436</v>
      </c>
      <c r="Z5" s="79">
        <v>1</v>
      </c>
      <c r="AA5" s="80" t="s">
        <v>469</v>
      </c>
      <c r="AB5" s="80" t="s">
        <v>429</v>
      </c>
      <c r="AC5" s="80" t="s">
        <v>349</v>
      </c>
    </row>
    <row r="6" spans="1:31">
      <c r="A6" s="79">
        <v>2</v>
      </c>
      <c r="B6" s="80" t="s">
        <v>337</v>
      </c>
      <c r="C6" s="80" t="s">
        <v>259</v>
      </c>
      <c r="D6" s="80" t="s">
        <v>344</v>
      </c>
      <c r="F6" s="79">
        <v>2</v>
      </c>
      <c r="G6" s="80" t="s">
        <v>351</v>
      </c>
      <c r="H6" s="80" t="s">
        <v>358</v>
      </c>
      <c r="I6" s="80" t="s">
        <v>366</v>
      </c>
      <c r="K6" s="79">
        <v>2</v>
      </c>
      <c r="L6" s="80" t="s">
        <v>337</v>
      </c>
      <c r="M6" s="80" t="s">
        <v>269</v>
      </c>
      <c r="N6" s="80" t="s">
        <v>344</v>
      </c>
      <c r="O6" s="80"/>
      <c r="P6" s="79">
        <v>2</v>
      </c>
      <c r="Q6" s="80" t="s">
        <v>379</v>
      </c>
      <c r="R6" s="80" t="s">
        <v>363</v>
      </c>
      <c r="S6" s="80" t="s">
        <v>416</v>
      </c>
      <c r="U6" s="79">
        <v>2</v>
      </c>
      <c r="V6" s="80" t="s">
        <v>442</v>
      </c>
      <c r="W6" s="80" t="s">
        <v>356</v>
      </c>
      <c r="X6" s="80" t="s">
        <v>365</v>
      </c>
      <c r="Z6" s="79">
        <v>2</v>
      </c>
      <c r="AA6" s="80" t="s">
        <v>338</v>
      </c>
      <c r="AB6" s="80" t="s">
        <v>269</v>
      </c>
      <c r="AC6" s="80" t="s">
        <v>348</v>
      </c>
    </row>
    <row r="7" spans="1:31">
      <c r="A7" s="79">
        <v>3</v>
      </c>
      <c r="B7" s="80" t="s">
        <v>338</v>
      </c>
      <c r="C7" s="80" t="s">
        <v>345</v>
      </c>
      <c r="D7" s="80" t="s">
        <v>348</v>
      </c>
      <c r="F7" s="79">
        <v>3</v>
      </c>
      <c r="G7" s="80" t="s">
        <v>352</v>
      </c>
      <c r="H7" s="80" t="s">
        <v>362</v>
      </c>
      <c r="I7" s="80" t="s">
        <v>365</v>
      </c>
      <c r="K7" s="79">
        <v>3</v>
      </c>
      <c r="L7" s="80" t="s">
        <v>367</v>
      </c>
      <c r="M7" s="80" t="s">
        <v>375</v>
      </c>
      <c r="N7" s="80" t="s">
        <v>348</v>
      </c>
      <c r="O7" s="80"/>
      <c r="P7" s="79">
        <v>3</v>
      </c>
      <c r="Q7" s="80" t="s">
        <v>401</v>
      </c>
      <c r="R7" s="80" t="s">
        <v>385</v>
      </c>
      <c r="S7" s="80" t="s">
        <v>420</v>
      </c>
      <c r="T7" s="79" t="s">
        <v>445</v>
      </c>
      <c r="U7" s="79">
        <v>3</v>
      </c>
      <c r="V7" s="80" t="s">
        <v>351</v>
      </c>
      <c r="W7" s="80" t="s">
        <v>358</v>
      </c>
      <c r="X7" s="80" t="s">
        <v>366</v>
      </c>
      <c r="Z7" s="79">
        <v>3</v>
      </c>
      <c r="AA7" s="80" t="s">
        <v>394</v>
      </c>
      <c r="AB7" s="80" t="s">
        <v>346</v>
      </c>
      <c r="AC7" s="80" t="s">
        <v>458</v>
      </c>
    </row>
    <row r="8" spans="1:31">
      <c r="A8" s="79">
        <v>4</v>
      </c>
      <c r="B8" s="80" t="s">
        <v>339</v>
      </c>
      <c r="C8" s="80" t="s">
        <v>346</v>
      </c>
      <c r="D8" s="80" t="s">
        <v>349</v>
      </c>
      <c r="F8" s="79">
        <v>4</v>
      </c>
      <c r="G8" s="80" t="s">
        <v>353</v>
      </c>
      <c r="H8" s="80" t="s">
        <v>359</v>
      </c>
      <c r="I8" s="80" t="s">
        <v>364</v>
      </c>
      <c r="K8" s="79">
        <v>4</v>
      </c>
      <c r="L8" s="80" t="s">
        <v>339</v>
      </c>
      <c r="M8" s="80" t="s">
        <v>340</v>
      </c>
      <c r="N8" s="80" t="s">
        <v>372</v>
      </c>
      <c r="O8" s="80"/>
      <c r="P8" s="79">
        <v>4</v>
      </c>
      <c r="Q8" s="80" t="s">
        <v>413</v>
      </c>
      <c r="R8" s="80" t="s">
        <v>441</v>
      </c>
      <c r="S8" s="80" t="s">
        <v>373</v>
      </c>
      <c r="U8" s="79">
        <v>4</v>
      </c>
      <c r="V8" s="80" t="s">
        <v>471</v>
      </c>
      <c r="W8" s="80" t="s">
        <v>418</v>
      </c>
      <c r="X8" s="80" t="s">
        <v>405</v>
      </c>
      <c r="Z8" s="79">
        <v>4</v>
      </c>
      <c r="AA8" s="80" t="s">
        <v>345</v>
      </c>
      <c r="AB8" s="80" t="s">
        <v>440</v>
      </c>
      <c r="AC8" s="80" t="s">
        <v>342</v>
      </c>
    </row>
    <row r="9" spans="1:31">
      <c r="A9" s="79">
        <v>5</v>
      </c>
      <c r="B9" s="80" t="s">
        <v>340</v>
      </c>
      <c r="C9" s="80" t="s">
        <v>347</v>
      </c>
      <c r="D9" s="80" t="s">
        <v>342</v>
      </c>
      <c r="F9" s="79">
        <v>5</v>
      </c>
      <c r="G9" s="80" t="s">
        <v>354</v>
      </c>
      <c r="H9" s="80" t="s">
        <v>261</v>
      </c>
      <c r="I9" s="80" t="s">
        <v>363</v>
      </c>
      <c r="K9" s="79">
        <v>5</v>
      </c>
      <c r="L9" s="80" t="s">
        <v>368</v>
      </c>
      <c r="M9" s="80" t="s">
        <v>373</v>
      </c>
      <c r="N9" s="80" t="s">
        <v>342</v>
      </c>
      <c r="O9" s="80"/>
      <c r="P9" s="79">
        <v>5</v>
      </c>
      <c r="Q9" s="80" t="s">
        <v>406</v>
      </c>
      <c r="R9" s="80" t="s">
        <v>411</v>
      </c>
      <c r="S9" s="80" t="s">
        <v>407</v>
      </c>
      <c r="U9" s="79">
        <v>5</v>
      </c>
      <c r="V9" s="80" t="s">
        <v>435</v>
      </c>
      <c r="W9" s="80" t="s">
        <v>359</v>
      </c>
      <c r="X9" s="80" t="s">
        <v>474</v>
      </c>
      <c r="Z9" s="79">
        <v>5</v>
      </c>
      <c r="AA9" s="80" t="s">
        <v>336</v>
      </c>
      <c r="AB9" s="80" t="s">
        <v>473</v>
      </c>
      <c r="AC9" s="80" t="s">
        <v>403</v>
      </c>
      <c r="AD9" s="79" t="s">
        <v>436</v>
      </c>
    </row>
    <row r="10" spans="1:31">
      <c r="A10" s="81" t="s">
        <v>335</v>
      </c>
      <c r="B10" s="80" t="s">
        <v>369</v>
      </c>
      <c r="C10" s="80" t="s">
        <v>370</v>
      </c>
      <c r="D10" s="80" t="s">
        <v>376</v>
      </c>
      <c r="F10" s="81" t="s">
        <v>335</v>
      </c>
      <c r="G10" s="80" t="s">
        <v>355</v>
      </c>
      <c r="H10" s="80" t="s">
        <v>360</v>
      </c>
      <c r="I10" s="80" t="s">
        <v>361</v>
      </c>
      <c r="K10" s="81" t="s">
        <v>335</v>
      </c>
      <c r="L10" s="80" t="s">
        <v>369</v>
      </c>
      <c r="M10" s="80" t="s">
        <v>370</v>
      </c>
      <c r="N10" s="80" t="s">
        <v>376</v>
      </c>
      <c r="O10" s="80"/>
      <c r="P10" s="81" t="s">
        <v>335</v>
      </c>
      <c r="Q10" s="80" t="s">
        <v>369</v>
      </c>
      <c r="R10" s="80" t="s">
        <v>370</v>
      </c>
      <c r="S10" s="80" t="s">
        <v>376</v>
      </c>
      <c r="U10" s="81" t="s">
        <v>335</v>
      </c>
      <c r="V10" s="80" t="s">
        <v>397</v>
      </c>
      <c r="W10" s="80" t="s">
        <v>387</v>
      </c>
      <c r="X10" s="80" t="s">
        <v>361</v>
      </c>
      <c r="Z10" s="81" t="s">
        <v>335</v>
      </c>
      <c r="AA10" s="80" t="s">
        <v>378</v>
      </c>
      <c r="AB10" s="80" t="s">
        <v>443</v>
      </c>
      <c r="AC10" s="80" t="s">
        <v>343</v>
      </c>
    </row>
    <row r="11" spans="1:31">
      <c r="B11" s="118"/>
      <c r="C11" s="118"/>
      <c r="D11" s="118"/>
      <c r="Q11" s="118"/>
      <c r="R11" s="118"/>
      <c r="S11" s="118"/>
    </row>
    <row r="12" spans="1:31">
      <c r="B12" s="118"/>
      <c r="C12" s="118"/>
      <c r="D12" s="118"/>
      <c r="G12" s="118"/>
      <c r="H12" s="118"/>
      <c r="I12" s="118"/>
      <c r="L12" s="118"/>
      <c r="M12" s="118"/>
      <c r="N12" s="118"/>
      <c r="O12" s="80"/>
      <c r="Q12" s="118" t="s">
        <v>282</v>
      </c>
      <c r="R12" s="118"/>
      <c r="S12" s="118"/>
      <c r="V12" s="118" t="s">
        <v>282</v>
      </c>
      <c r="W12" s="118"/>
      <c r="X12" s="118"/>
      <c r="AA12" s="118" t="s">
        <v>282</v>
      </c>
      <c r="AB12" s="118"/>
      <c r="AC12" s="118"/>
    </row>
    <row r="13" spans="1:31">
      <c r="A13" s="79">
        <v>1</v>
      </c>
      <c r="B13" s="80" t="s">
        <v>377</v>
      </c>
      <c r="C13" s="80" t="s">
        <v>382</v>
      </c>
      <c r="D13" s="80" t="s">
        <v>383</v>
      </c>
      <c r="F13" s="79">
        <v>1</v>
      </c>
      <c r="G13" s="80" t="s">
        <v>391</v>
      </c>
      <c r="H13" s="80" t="s">
        <v>392</v>
      </c>
      <c r="I13" s="80" t="s">
        <v>383</v>
      </c>
      <c r="K13" s="79">
        <v>1</v>
      </c>
      <c r="L13" s="80" t="s">
        <v>398</v>
      </c>
      <c r="M13" s="80" t="s">
        <v>356</v>
      </c>
      <c r="N13" s="80" t="s">
        <v>365</v>
      </c>
      <c r="O13" s="80"/>
      <c r="P13" s="79">
        <v>1</v>
      </c>
      <c r="Q13" s="80" t="s">
        <v>423</v>
      </c>
      <c r="R13" s="80" t="s">
        <v>384</v>
      </c>
      <c r="S13" s="80" t="s">
        <v>389</v>
      </c>
      <c r="U13" s="79">
        <v>1</v>
      </c>
      <c r="V13" s="80" t="s">
        <v>400</v>
      </c>
      <c r="W13" s="80" t="s">
        <v>443</v>
      </c>
      <c r="X13" s="80" t="s">
        <v>270</v>
      </c>
      <c r="Z13" s="79">
        <v>1</v>
      </c>
      <c r="AA13" s="80" t="s">
        <v>469</v>
      </c>
      <c r="AB13" s="80" t="s">
        <v>454</v>
      </c>
      <c r="AC13" s="80" t="s">
        <v>343</v>
      </c>
    </row>
    <row r="14" spans="1:31">
      <c r="A14" s="79">
        <v>2</v>
      </c>
      <c r="B14" s="80" t="s">
        <v>378</v>
      </c>
      <c r="C14" s="80" t="s">
        <v>384</v>
      </c>
      <c r="D14" s="80" t="s">
        <v>266</v>
      </c>
      <c r="F14" s="79">
        <v>2</v>
      </c>
      <c r="G14" s="80" t="s">
        <v>378</v>
      </c>
      <c r="H14" s="80" t="s">
        <v>384</v>
      </c>
      <c r="I14" s="80" t="s">
        <v>395</v>
      </c>
      <c r="K14" s="79">
        <v>2</v>
      </c>
      <c r="L14" s="80" t="s">
        <v>351</v>
      </c>
      <c r="M14" s="80" t="s">
        <v>358</v>
      </c>
      <c r="N14" s="80" t="s">
        <v>270</v>
      </c>
      <c r="O14" s="80"/>
      <c r="P14" s="79">
        <v>2</v>
      </c>
      <c r="Q14" s="80" t="s">
        <v>378</v>
      </c>
      <c r="R14" s="80" t="s">
        <v>390</v>
      </c>
      <c r="S14" s="80" t="s">
        <v>383</v>
      </c>
      <c r="U14" s="79">
        <v>2</v>
      </c>
      <c r="V14" s="80" t="s">
        <v>406</v>
      </c>
      <c r="W14" s="80" t="s">
        <v>331</v>
      </c>
      <c r="X14" s="80" t="s">
        <v>374</v>
      </c>
      <c r="Z14" s="79">
        <v>2</v>
      </c>
      <c r="AA14" s="80" t="s">
        <v>338</v>
      </c>
      <c r="AB14" s="80" t="s">
        <v>259</v>
      </c>
      <c r="AC14" s="80" t="s">
        <v>348</v>
      </c>
    </row>
    <row r="15" spans="1:31">
      <c r="A15" s="79">
        <v>3</v>
      </c>
      <c r="B15" s="80" t="s">
        <v>379</v>
      </c>
      <c r="C15" s="80" t="s">
        <v>485</v>
      </c>
      <c r="D15" s="80" t="s">
        <v>388</v>
      </c>
      <c r="F15" s="79">
        <v>3</v>
      </c>
      <c r="G15" s="80" t="s">
        <v>393</v>
      </c>
      <c r="H15" s="80" t="s">
        <v>485</v>
      </c>
      <c r="I15" s="80" t="s">
        <v>388</v>
      </c>
      <c r="K15" s="79">
        <v>3</v>
      </c>
      <c r="L15" s="80" t="s">
        <v>399</v>
      </c>
      <c r="M15" s="80" t="s">
        <v>359</v>
      </c>
      <c r="N15" s="80" t="s">
        <v>404</v>
      </c>
      <c r="O15" s="80" t="s">
        <v>436</v>
      </c>
      <c r="P15" s="79">
        <v>3</v>
      </c>
      <c r="Q15" s="80" t="s">
        <v>427</v>
      </c>
      <c r="R15" s="80" t="s">
        <v>385</v>
      </c>
      <c r="S15" s="80" t="s">
        <v>417</v>
      </c>
      <c r="T15" s="79" t="s">
        <v>436</v>
      </c>
      <c r="U15" s="79">
        <v>3</v>
      </c>
      <c r="V15" s="80" t="s">
        <v>409</v>
      </c>
      <c r="W15" s="80" t="s">
        <v>410</v>
      </c>
      <c r="X15" s="80" t="s">
        <v>415</v>
      </c>
      <c r="Z15" s="79">
        <v>3</v>
      </c>
      <c r="AA15" s="80" t="s">
        <v>336</v>
      </c>
      <c r="AB15" s="80" t="s">
        <v>429</v>
      </c>
      <c r="AC15" s="80" t="s">
        <v>342</v>
      </c>
    </row>
    <row r="16" spans="1:31">
      <c r="A16" s="79">
        <v>4</v>
      </c>
      <c r="B16" s="80" t="s">
        <v>380</v>
      </c>
      <c r="C16" s="80" t="s">
        <v>385</v>
      </c>
      <c r="D16" s="80" t="s">
        <v>389</v>
      </c>
      <c r="F16" s="79">
        <v>4</v>
      </c>
      <c r="G16" s="80" t="s">
        <v>380</v>
      </c>
      <c r="H16" s="80" t="s">
        <v>385</v>
      </c>
      <c r="I16" s="80" t="s">
        <v>396</v>
      </c>
      <c r="K16" s="79">
        <v>4</v>
      </c>
      <c r="L16" s="80" t="s">
        <v>394</v>
      </c>
      <c r="M16" s="80" t="s">
        <v>360</v>
      </c>
      <c r="N16" s="80" t="s">
        <v>405</v>
      </c>
      <c r="O16" s="80"/>
      <c r="P16" s="79">
        <v>4</v>
      </c>
      <c r="Q16" s="80" t="s">
        <v>381</v>
      </c>
      <c r="R16" s="80" t="s">
        <v>441</v>
      </c>
      <c r="S16" s="80" t="s">
        <v>388</v>
      </c>
      <c r="U16" s="79">
        <v>4</v>
      </c>
      <c r="V16" s="80" t="s">
        <v>353</v>
      </c>
      <c r="W16" s="80" t="s">
        <v>402</v>
      </c>
      <c r="X16" s="80" t="s">
        <v>416</v>
      </c>
      <c r="Z16" s="79">
        <v>4</v>
      </c>
      <c r="AA16" s="80" t="s">
        <v>394</v>
      </c>
      <c r="AB16" s="80" t="s">
        <v>346</v>
      </c>
      <c r="AC16" s="80" t="s">
        <v>458</v>
      </c>
    </row>
    <row r="17" spans="1:31">
      <c r="A17" s="79">
        <v>5</v>
      </c>
      <c r="B17" s="80" t="s">
        <v>381</v>
      </c>
      <c r="C17" s="80" t="s">
        <v>386</v>
      </c>
      <c r="D17" s="80" t="s">
        <v>390</v>
      </c>
      <c r="F17" s="79">
        <v>5</v>
      </c>
      <c r="G17" s="80" t="s">
        <v>394</v>
      </c>
      <c r="H17" s="80" t="s">
        <v>386</v>
      </c>
      <c r="I17" s="80" t="s">
        <v>389</v>
      </c>
      <c r="K17" s="79">
        <v>5</v>
      </c>
      <c r="L17" s="80" t="s">
        <v>400</v>
      </c>
      <c r="M17" s="80" t="s">
        <v>402</v>
      </c>
      <c r="N17" s="80" t="s">
        <v>403</v>
      </c>
      <c r="O17" s="80" t="s">
        <v>436</v>
      </c>
      <c r="P17" s="79">
        <v>5</v>
      </c>
      <c r="Q17" s="80" t="s">
        <v>379</v>
      </c>
      <c r="R17" s="80" t="s">
        <v>266</v>
      </c>
      <c r="S17" s="80" t="s">
        <v>373</v>
      </c>
      <c r="U17" s="79">
        <v>5</v>
      </c>
      <c r="V17" s="80" t="s">
        <v>413</v>
      </c>
      <c r="W17" s="80" t="s">
        <v>414</v>
      </c>
      <c r="X17" s="80" t="s">
        <v>363</v>
      </c>
      <c r="Y17" s="79" t="s">
        <v>436</v>
      </c>
      <c r="Z17" s="79">
        <v>5</v>
      </c>
      <c r="AA17" s="80" t="s">
        <v>345</v>
      </c>
      <c r="AB17" s="80" t="s">
        <v>375</v>
      </c>
      <c r="AC17" s="80" t="s">
        <v>403</v>
      </c>
      <c r="AD17" s="79" t="s">
        <v>436</v>
      </c>
    </row>
    <row r="18" spans="1:31">
      <c r="A18" s="81" t="s">
        <v>335</v>
      </c>
      <c r="B18" s="80" t="s">
        <v>368</v>
      </c>
      <c r="C18" s="80" t="s">
        <v>387</v>
      </c>
      <c r="D18" s="80" t="s">
        <v>361</v>
      </c>
      <c r="F18" s="81" t="s">
        <v>335</v>
      </c>
      <c r="G18" s="80" t="s">
        <v>397</v>
      </c>
      <c r="H18" s="80" t="s">
        <v>387</v>
      </c>
      <c r="I18" s="80" t="s">
        <v>343</v>
      </c>
      <c r="K18" s="81" t="s">
        <v>335</v>
      </c>
      <c r="L18" s="80" t="s">
        <v>401</v>
      </c>
      <c r="M18" s="80" t="s">
        <v>362</v>
      </c>
      <c r="N18" s="80" t="s">
        <v>357</v>
      </c>
      <c r="O18" s="80"/>
      <c r="P18" s="81" t="s">
        <v>335</v>
      </c>
      <c r="Q18" s="80" t="s">
        <v>369</v>
      </c>
      <c r="R18" s="80" t="s">
        <v>370</v>
      </c>
      <c r="S18" s="80" t="s">
        <v>376</v>
      </c>
      <c r="U18" s="81" t="s">
        <v>335</v>
      </c>
      <c r="V18" s="80" t="s">
        <v>401</v>
      </c>
      <c r="W18" s="80" t="s">
        <v>387</v>
      </c>
      <c r="X18" s="80" t="s">
        <v>361</v>
      </c>
      <c r="Y18" s="79" t="s">
        <v>428</v>
      </c>
      <c r="Z18" s="81" t="s">
        <v>335</v>
      </c>
      <c r="AA18" s="80" t="s">
        <v>368</v>
      </c>
      <c r="AB18" s="80" t="s">
        <v>468</v>
      </c>
      <c r="AC18" s="80" t="s">
        <v>261</v>
      </c>
    </row>
    <row r="19" spans="1:31">
      <c r="A19" s="81"/>
      <c r="B19" s="118"/>
      <c r="C19" s="118"/>
      <c r="D19" s="118"/>
      <c r="Q19" s="118"/>
      <c r="R19" s="118"/>
      <c r="S19" s="118"/>
    </row>
    <row r="20" spans="1:31">
      <c r="B20" s="118"/>
      <c r="C20" s="118"/>
      <c r="D20" s="118"/>
      <c r="G20" s="118"/>
      <c r="H20" s="118"/>
      <c r="I20" s="118"/>
      <c r="Q20" s="118" t="s">
        <v>467</v>
      </c>
      <c r="R20" s="118"/>
      <c r="S20" s="118"/>
      <c r="V20" s="118" t="s">
        <v>466</v>
      </c>
      <c r="W20" s="118"/>
      <c r="X20" s="118"/>
    </row>
    <row r="21" spans="1:31">
      <c r="A21" s="79">
        <v>1</v>
      </c>
      <c r="B21" s="80" t="s">
        <v>406</v>
      </c>
      <c r="C21" s="80" t="s">
        <v>411</v>
      </c>
      <c r="D21" s="80" t="s">
        <v>407</v>
      </c>
      <c r="F21" s="79">
        <v>1</v>
      </c>
      <c r="G21" s="80" t="s">
        <v>399</v>
      </c>
      <c r="H21" s="80" t="s">
        <v>421</v>
      </c>
      <c r="I21" s="80" t="s">
        <v>422</v>
      </c>
      <c r="P21" s="79">
        <v>1</v>
      </c>
      <c r="Q21" s="80" t="s">
        <v>377</v>
      </c>
      <c r="R21" s="80" t="s">
        <v>382</v>
      </c>
      <c r="S21" s="80" t="s">
        <v>396</v>
      </c>
      <c r="U21" s="79">
        <v>1</v>
      </c>
      <c r="V21" s="80" t="s">
        <v>399</v>
      </c>
      <c r="W21" s="80" t="s">
        <v>359</v>
      </c>
      <c r="X21" s="80" t="s">
        <v>404</v>
      </c>
    </row>
    <row r="22" spans="1:31">
      <c r="A22" s="79">
        <v>2</v>
      </c>
      <c r="B22" s="80" t="s">
        <v>413</v>
      </c>
      <c r="C22" s="80" t="s">
        <v>412</v>
      </c>
      <c r="D22" s="80" t="s">
        <v>444</v>
      </c>
      <c r="F22" s="79">
        <v>2</v>
      </c>
      <c r="G22" s="80" t="s">
        <v>413</v>
      </c>
      <c r="H22" s="80" t="s">
        <v>414</v>
      </c>
      <c r="I22" s="80" t="s">
        <v>444</v>
      </c>
      <c r="P22" s="79">
        <v>2</v>
      </c>
      <c r="Q22" s="80" t="s">
        <v>472</v>
      </c>
      <c r="R22" s="80" t="s">
        <v>441</v>
      </c>
      <c r="S22" s="80" t="s">
        <v>395</v>
      </c>
      <c r="U22" s="79">
        <v>2</v>
      </c>
      <c r="V22" s="80" t="s">
        <v>394</v>
      </c>
      <c r="W22" s="80" t="s">
        <v>412</v>
      </c>
      <c r="X22" s="80" t="s">
        <v>366</v>
      </c>
    </row>
    <row r="23" spans="1:31">
      <c r="A23" s="79">
        <v>3</v>
      </c>
      <c r="B23" s="80" t="s">
        <v>408</v>
      </c>
      <c r="C23" s="80" t="s">
        <v>414</v>
      </c>
      <c r="D23" s="80" t="s">
        <v>366</v>
      </c>
      <c r="F23" s="79">
        <v>3</v>
      </c>
      <c r="G23" s="80" t="s">
        <v>419</v>
      </c>
      <c r="H23" s="80" t="s">
        <v>412</v>
      </c>
      <c r="I23" s="80" t="s">
        <v>416</v>
      </c>
      <c r="P23" s="79">
        <v>3</v>
      </c>
      <c r="Q23" s="80" t="s">
        <v>378</v>
      </c>
      <c r="R23" s="80" t="s">
        <v>390</v>
      </c>
      <c r="S23" s="80" t="s">
        <v>430</v>
      </c>
      <c r="U23" s="79">
        <v>3</v>
      </c>
      <c r="V23" s="80" t="s">
        <v>400</v>
      </c>
      <c r="W23" s="80" t="s">
        <v>356</v>
      </c>
      <c r="X23" s="80" t="s">
        <v>417</v>
      </c>
    </row>
    <row r="24" spans="1:31">
      <c r="A24" s="79">
        <v>4</v>
      </c>
      <c r="B24" s="80" t="s">
        <v>409</v>
      </c>
      <c r="C24" s="80" t="s">
        <v>416</v>
      </c>
      <c r="D24" s="80" t="s">
        <v>415</v>
      </c>
      <c r="F24" s="79">
        <v>4</v>
      </c>
      <c r="G24" s="80" t="s">
        <v>401</v>
      </c>
      <c r="H24" s="80" t="s">
        <v>266</v>
      </c>
      <c r="I24" s="80" t="s">
        <v>415</v>
      </c>
      <c r="P24" s="79">
        <v>4</v>
      </c>
      <c r="Q24" s="80" t="s">
        <v>380</v>
      </c>
      <c r="R24" s="80" t="s">
        <v>384</v>
      </c>
      <c r="S24" s="80" t="s">
        <v>389</v>
      </c>
      <c r="U24" s="79">
        <v>4</v>
      </c>
      <c r="V24" s="80" t="s">
        <v>406</v>
      </c>
      <c r="W24" s="80" t="s">
        <v>411</v>
      </c>
      <c r="X24" s="80" t="s">
        <v>416</v>
      </c>
    </row>
    <row r="25" spans="1:31">
      <c r="A25" s="79">
        <v>5</v>
      </c>
      <c r="B25" s="80" t="s">
        <v>353</v>
      </c>
      <c r="C25" s="80" t="s">
        <v>410</v>
      </c>
      <c r="D25" s="80" t="s">
        <v>417</v>
      </c>
      <c r="F25" s="79">
        <v>5</v>
      </c>
      <c r="G25" s="80" t="s">
        <v>400</v>
      </c>
      <c r="H25" s="80" t="s">
        <v>390</v>
      </c>
      <c r="I25" s="80" t="s">
        <v>420</v>
      </c>
      <c r="P25" s="79">
        <v>5</v>
      </c>
      <c r="Q25" s="80" t="s">
        <v>353</v>
      </c>
      <c r="R25" s="80" t="s">
        <v>446</v>
      </c>
      <c r="S25" s="80" t="s">
        <v>422</v>
      </c>
      <c r="U25" s="79">
        <v>5</v>
      </c>
      <c r="V25" s="80" t="s">
        <v>413</v>
      </c>
      <c r="W25" s="80" t="s">
        <v>410</v>
      </c>
      <c r="X25" s="80" t="s">
        <v>415</v>
      </c>
    </row>
    <row r="26" spans="1:31">
      <c r="A26" s="81" t="s">
        <v>335</v>
      </c>
      <c r="B26" s="80" t="s">
        <v>269</v>
      </c>
      <c r="C26" s="80" t="s">
        <v>373</v>
      </c>
      <c r="D26" s="80" t="s">
        <v>418</v>
      </c>
      <c r="F26" s="81" t="s">
        <v>335</v>
      </c>
      <c r="G26" s="80" t="s">
        <v>381</v>
      </c>
      <c r="H26" s="80" t="s">
        <v>259</v>
      </c>
      <c r="I26" s="80" t="s">
        <v>343</v>
      </c>
      <c r="P26" s="81" t="s">
        <v>335</v>
      </c>
      <c r="Q26" s="80" t="s">
        <v>398</v>
      </c>
      <c r="R26" s="80" t="s">
        <v>331</v>
      </c>
      <c r="S26" s="80" t="s">
        <v>342</v>
      </c>
      <c r="U26" s="81" t="s">
        <v>335</v>
      </c>
      <c r="V26" s="80" t="s">
        <v>401</v>
      </c>
      <c r="W26" s="80" t="s">
        <v>373</v>
      </c>
      <c r="X26" s="80" t="s">
        <v>357</v>
      </c>
      <c r="Y26" s="79" t="s">
        <v>428</v>
      </c>
    </row>
    <row r="27" spans="1:31">
      <c r="A27" s="81"/>
    </row>
    <row r="28" spans="1:31">
      <c r="Q28" s="118" t="s">
        <v>464</v>
      </c>
      <c r="R28" s="118"/>
      <c r="S28" s="118"/>
      <c r="V28" s="118" t="s">
        <v>464</v>
      </c>
      <c r="W28" s="118"/>
      <c r="X28" s="118"/>
      <c r="AA28" s="118" t="s">
        <v>464</v>
      </c>
      <c r="AB28" s="118"/>
      <c r="AC28" s="118"/>
    </row>
    <row r="29" spans="1:31">
      <c r="Q29" s="80" t="s">
        <v>334</v>
      </c>
      <c r="R29" s="80" t="s">
        <v>267</v>
      </c>
      <c r="S29" s="80" t="s">
        <v>274</v>
      </c>
      <c r="T29" s="79" t="s">
        <v>456</v>
      </c>
      <c r="V29" s="80" t="s">
        <v>334</v>
      </c>
      <c r="W29" s="80" t="s">
        <v>267</v>
      </c>
      <c r="X29" s="80" t="s">
        <v>274</v>
      </c>
      <c r="Y29" s="79" t="s">
        <v>456</v>
      </c>
      <c r="AA29" s="80" t="s">
        <v>334</v>
      </c>
      <c r="AB29" s="80" t="s">
        <v>267</v>
      </c>
      <c r="AC29" s="80" t="s">
        <v>274</v>
      </c>
      <c r="AD29" s="79" t="s">
        <v>436</v>
      </c>
      <c r="AE29" s="79" t="s">
        <v>437</v>
      </c>
    </row>
    <row r="30" spans="1:31">
      <c r="P30" s="79">
        <v>1</v>
      </c>
      <c r="Q30" s="80" t="s">
        <v>427</v>
      </c>
      <c r="R30" s="80" t="s">
        <v>384</v>
      </c>
      <c r="S30" s="80" t="s">
        <v>416</v>
      </c>
      <c r="T30" s="79" t="s">
        <v>349</v>
      </c>
      <c r="U30" s="79">
        <v>1</v>
      </c>
      <c r="V30" s="80" t="s">
        <v>409</v>
      </c>
      <c r="W30" s="80" t="s">
        <v>362</v>
      </c>
      <c r="X30" s="80" t="s">
        <v>357</v>
      </c>
      <c r="Z30" s="79">
        <v>1</v>
      </c>
      <c r="AA30" s="80" t="s">
        <v>336</v>
      </c>
      <c r="AB30" s="80" t="s">
        <v>269</v>
      </c>
      <c r="AC30" s="80" t="s">
        <v>343</v>
      </c>
    </row>
    <row r="31" spans="1:31">
      <c r="P31" s="79">
        <v>2</v>
      </c>
      <c r="Q31" s="80" t="s">
        <v>378</v>
      </c>
      <c r="R31" s="80" t="s">
        <v>385</v>
      </c>
      <c r="S31" s="80" t="s">
        <v>420</v>
      </c>
      <c r="T31" s="79" t="s">
        <v>436</v>
      </c>
      <c r="U31" s="79">
        <v>2</v>
      </c>
      <c r="V31" s="80" t="s">
        <v>442</v>
      </c>
      <c r="W31" s="80" t="s">
        <v>358</v>
      </c>
      <c r="X31" s="80" t="s">
        <v>365</v>
      </c>
      <c r="Z31" s="79">
        <v>2</v>
      </c>
      <c r="AA31" s="80" t="s">
        <v>337</v>
      </c>
      <c r="AB31" s="80" t="s">
        <v>346</v>
      </c>
      <c r="AC31" s="80" t="s">
        <v>417</v>
      </c>
      <c r="AD31" s="79" t="s">
        <v>436</v>
      </c>
    </row>
    <row r="32" spans="1:31">
      <c r="P32" s="79">
        <v>3</v>
      </c>
      <c r="Q32" s="80" t="s">
        <v>423</v>
      </c>
      <c r="R32" s="80" t="s">
        <v>382</v>
      </c>
      <c r="S32" s="80" t="s">
        <v>363</v>
      </c>
      <c r="T32" s="79" t="s">
        <v>436</v>
      </c>
      <c r="U32" s="79">
        <v>3</v>
      </c>
      <c r="V32" s="80" t="s">
        <v>353</v>
      </c>
      <c r="W32" s="80" t="s">
        <v>359</v>
      </c>
      <c r="X32" s="80" t="s">
        <v>366</v>
      </c>
      <c r="Z32" s="79">
        <v>3</v>
      </c>
      <c r="AA32" s="80" t="s">
        <v>372</v>
      </c>
      <c r="AB32" s="80" t="s">
        <v>259</v>
      </c>
      <c r="AC32" s="80" t="s">
        <v>482</v>
      </c>
    </row>
    <row r="33" spans="16:29">
      <c r="P33" s="79">
        <v>4</v>
      </c>
      <c r="Q33" s="80" t="s">
        <v>481</v>
      </c>
      <c r="R33" s="80" t="s">
        <v>402</v>
      </c>
      <c r="S33" s="80" t="s">
        <v>411</v>
      </c>
      <c r="U33" s="79">
        <v>4</v>
      </c>
      <c r="V33" s="80" t="s">
        <v>400</v>
      </c>
      <c r="W33" s="80" t="s">
        <v>418</v>
      </c>
      <c r="X33" s="80" t="s">
        <v>459</v>
      </c>
      <c r="Z33" s="79">
        <v>4</v>
      </c>
      <c r="AA33" s="80" t="s">
        <v>394</v>
      </c>
      <c r="AB33" s="80" t="s">
        <v>371</v>
      </c>
      <c r="AC33" s="80" t="s">
        <v>348</v>
      </c>
    </row>
    <row r="34" spans="16:29">
      <c r="P34" s="79">
        <v>5</v>
      </c>
      <c r="Q34" s="80" t="s">
        <v>380</v>
      </c>
      <c r="R34" s="80" t="s">
        <v>386</v>
      </c>
      <c r="S34" s="80" t="s">
        <v>444</v>
      </c>
      <c r="U34" s="79">
        <v>5</v>
      </c>
      <c r="V34" s="80" t="s">
        <v>435</v>
      </c>
      <c r="W34" s="80" t="s">
        <v>412</v>
      </c>
      <c r="X34" s="80" t="s">
        <v>405</v>
      </c>
      <c r="Y34" s="79" t="s">
        <v>436</v>
      </c>
      <c r="Z34" s="79">
        <v>5</v>
      </c>
      <c r="AA34" s="80" t="s">
        <v>413</v>
      </c>
      <c r="AB34" s="80" t="s">
        <v>443</v>
      </c>
      <c r="AC34" s="80" t="s">
        <v>342</v>
      </c>
    </row>
    <row r="35" spans="16:29">
      <c r="P35" s="81" t="s">
        <v>335</v>
      </c>
      <c r="Q35" s="80" t="s">
        <v>369</v>
      </c>
      <c r="R35" s="80" t="s">
        <v>468</v>
      </c>
      <c r="S35" s="80" t="s">
        <v>376</v>
      </c>
      <c r="U35" s="81" t="s">
        <v>335</v>
      </c>
      <c r="V35" s="80" t="s">
        <v>419</v>
      </c>
      <c r="W35" s="80" t="s">
        <v>387</v>
      </c>
      <c r="X35" s="80" t="s">
        <v>361</v>
      </c>
      <c r="Z35" s="81" t="s">
        <v>335</v>
      </c>
      <c r="AA35" s="80" t="s">
        <v>406</v>
      </c>
      <c r="AB35" s="80" t="s">
        <v>373</v>
      </c>
      <c r="AC35" s="80" t="s">
        <v>398</v>
      </c>
    </row>
    <row r="36" spans="16:29">
      <c r="Q36" s="118"/>
      <c r="R36" s="118"/>
      <c r="S36" s="118"/>
    </row>
    <row r="37" spans="16:29">
      <c r="Q37" s="118" t="s">
        <v>477</v>
      </c>
      <c r="R37" s="118"/>
      <c r="S37" s="118"/>
      <c r="V37" s="118" t="s">
        <v>478</v>
      </c>
      <c r="W37" s="118"/>
      <c r="X37" s="118"/>
      <c r="AA37" s="118" t="s">
        <v>479</v>
      </c>
      <c r="AB37" s="118"/>
      <c r="AC37" s="118"/>
    </row>
    <row r="38" spans="16:29">
      <c r="P38" s="79">
        <v>1</v>
      </c>
      <c r="Q38" s="80" t="s">
        <v>435</v>
      </c>
      <c r="R38" s="80" t="s">
        <v>373</v>
      </c>
      <c r="S38" s="80" t="s">
        <v>484</v>
      </c>
      <c r="T38" s="79" t="s">
        <v>436</v>
      </c>
      <c r="U38" s="79">
        <v>1</v>
      </c>
      <c r="V38" s="80" t="s">
        <v>407</v>
      </c>
      <c r="W38" s="80" t="s">
        <v>384</v>
      </c>
      <c r="X38" s="80" t="s">
        <v>383</v>
      </c>
      <c r="Z38" s="79">
        <v>1</v>
      </c>
      <c r="AA38" s="80" t="s">
        <v>336</v>
      </c>
      <c r="AB38" s="80" t="s">
        <v>412</v>
      </c>
      <c r="AC38" s="80" t="s">
        <v>415</v>
      </c>
    </row>
    <row r="39" spans="16:29">
      <c r="P39" s="79">
        <v>2</v>
      </c>
      <c r="Q39" s="80" t="s">
        <v>378</v>
      </c>
      <c r="R39" s="80" t="s">
        <v>363</v>
      </c>
      <c r="S39" s="80" t="s">
        <v>444</v>
      </c>
      <c r="T39" s="79" t="s">
        <v>436</v>
      </c>
      <c r="U39" s="79">
        <v>2</v>
      </c>
      <c r="V39" s="80" t="s">
        <v>389</v>
      </c>
      <c r="W39" s="80" t="s">
        <v>446</v>
      </c>
      <c r="X39" s="80" t="s">
        <v>395</v>
      </c>
      <c r="Z39" s="79">
        <v>2</v>
      </c>
      <c r="AA39" s="80" t="s">
        <v>394</v>
      </c>
      <c r="AB39" s="80" t="s">
        <v>390</v>
      </c>
      <c r="AC39" s="80" t="s">
        <v>416</v>
      </c>
    </row>
    <row r="40" spans="16:29">
      <c r="P40" s="79">
        <v>3</v>
      </c>
      <c r="Q40" s="80" t="s">
        <v>457</v>
      </c>
      <c r="R40" s="80" t="s">
        <v>385</v>
      </c>
      <c r="S40" s="80" t="s">
        <v>420</v>
      </c>
      <c r="T40" s="79" t="s">
        <v>436</v>
      </c>
      <c r="U40" s="79">
        <v>3</v>
      </c>
      <c r="V40" s="80" t="s">
        <v>377</v>
      </c>
      <c r="W40" s="80" t="s">
        <v>266</v>
      </c>
      <c r="X40" s="80" t="s">
        <v>430</v>
      </c>
      <c r="Z40" s="79">
        <v>3</v>
      </c>
      <c r="AA40" s="80" t="s">
        <v>338</v>
      </c>
      <c r="AB40" s="80" t="s">
        <v>429</v>
      </c>
      <c r="AC40" s="80" t="s">
        <v>444</v>
      </c>
    </row>
    <row r="41" spans="16:29">
      <c r="P41" s="79">
        <v>4</v>
      </c>
      <c r="Q41" s="80" t="s">
        <v>413</v>
      </c>
      <c r="R41" s="80" t="s">
        <v>392</v>
      </c>
      <c r="S41" s="80" t="s">
        <v>403</v>
      </c>
      <c r="T41" s="79" t="s">
        <v>436</v>
      </c>
      <c r="U41" s="79">
        <v>4</v>
      </c>
      <c r="V41" s="80" t="s">
        <v>481</v>
      </c>
      <c r="W41" s="80" t="s">
        <v>382</v>
      </c>
      <c r="X41" s="80" t="s">
        <v>388</v>
      </c>
      <c r="Z41" s="79">
        <v>4</v>
      </c>
      <c r="AA41" s="80" t="s">
        <v>400</v>
      </c>
      <c r="AB41" s="80" t="s">
        <v>448</v>
      </c>
      <c r="AC41" s="80" t="s">
        <v>445</v>
      </c>
    </row>
    <row r="42" spans="16:29">
      <c r="P42" s="79">
        <v>5</v>
      </c>
      <c r="Q42" s="80" t="s">
        <v>380</v>
      </c>
      <c r="R42" s="80" t="s">
        <v>331</v>
      </c>
      <c r="S42" s="80" t="s">
        <v>422</v>
      </c>
      <c r="U42" s="79">
        <v>5</v>
      </c>
      <c r="V42" s="80" t="s">
        <v>381</v>
      </c>
      <c r="W42" s="80" t="s">
        <v>385</v>
      </c>
      <c r="X42" s="80" t="s">
        <v>396</v>
      </c>
      <c r="Z42" s="79">
        <v>5</v>
      </c>
      <c r="AA42" s="80" t="s">
        <v>353</v>
      </c>
      <c r="AB42" s="80" t="s">
        <v>346</v>
      </c>
      <c r="AC42" s="80" t="s">
        <v>476</v>
      </c>
    </row>
    <row r="43" spans="16:29">
      <c r="P43" s="81" t="s">
        <v>335</v>
      </c>
      <c r="Q43" s="80" t="s">
        <v>369</v>
      </c>
      <c r="R43" s="80" t="s">
        <v>370</v>
      </c>
      <c r="S43" s="80" t="s">
        <v>376</v>
      </c>
      <c r="U43" s="81" t="s">
        <v>335</v>
      </c>
      <c r="V43" s="80" t="s">
        <v>401</v>
      </c>
      <c r="W43" s="80" t="s">
        <v>387</v>
      </c>
      <c r="X43" s="80" t="s">
        <v>361</v>
      </c>
      <c r="Y43" s="79" t="s">
        <v>428</v>
      </c>
      <c r="Z43" s="81" t="s">
        <v>335</v>
      </c>
      <c r="AA43" s="80" t="s">
        <v>368</v>
      </c>
      <c r="AB43" s="80" t="s">
        <v>360</v>
      </c>
      <c r="AC43" s="80" t="s">
        <v>342</v>
      </c>
    </row>
    <row r="44" spans="16:29">
      <c r="Q44" s="118"/>
      <c r="R44" s="118"/>
      <c r="S44" s="118"/>
    </row>
    <row r="45" spans="16:29">
      <c r="Q45" s="118"/>
      <c r="R45" s="118"/>
      <c r="S45" s="118"/>
      <c r="V45" s="118" t="s">
        <v>480</v>
      </c>
      <c r="W45" s="118"/>
      <c r="X45" s="118"/>
      <c r="AA45" s="118" t="s">
        <v>470</v>
      </c>
      <c r="AB45" s="118"/>
      <c r="AC45" s="118"/>
    </row>
    <row r="46" spans="16:29">
      <c r="Q46" s="80"/>
      <c r="R46" s="80"/>
      <c r="S46" s="80"/>
      <c r="U46" s="79">
        <v>1</v>
      </c>
      <c r="V46" s="80" t="s">
        <v>399</v>
      </c>
      <c r="W46" s="80" t="s">
        <v>359</v>
      </c>
      <c r="X46" s="80" t="s">
        <v>404</v>
      </c>
      <c r="Y46" s="79" t="s">
        <v>436</v>
      </c>
      <c r="Z46" s="79">
        <v>1</v>
      </c>
      <c r="AA46" s="80" t="s">
        <v>340</v>
      </c>
      <c r="AB46" s="80" t="s">
        <v>483</v>
      </c>
      <c r="AC46" s="80" t="s">
        <v>348</v>
      </c>
    </row>
    <row r="47" spans="16:29">
      <c r="Q47" s="80"/>
      <c r="R47" s="80"/>
      <c r="S47" s="80"/>
      <c r="U47" s="79">
        <v>2</v>
      </c>
      <c r="V47" s="80" t="s">
        <v>398</v>
      </c>
      <c r="W47" s="80" t="s">
        <v>356</v>
      </c>
      <c r="X47" s="80" t="s">
        <v>366</v>
      </c>
      <c r="Z47" s="79">
        <v>2</v>
      </c>
      <c r="AA47" s="80" t="s">
        <v>394</v>
      </c>
      <c r="AB47" s="80" t="s">
        <v>390</v>
      </c>
      <c r="AC47" s="80" t="s">
        <v>458</v>
      </c>
    </row>
    <row r="48" spans="16:29">
      <c r="Q48" s="80"/>
      <c r="R48" s="80"/>
      <c r="S48" s="80"/>
      <c r="U48" s="79">
        <v>3</v>
      </c>
      <c r="V48" s="80" t="s">
        <v>435</v>
      </c>
      <c r="W48" s="80" t="s">
        <v>410</v>
      </c>
      <c r="X48" s="80" t="s">
        <v>374</v>
      </c>
      <c r="Y48" s="79" t="s">
        <v>436</v>
      </c>
      <c r="Z48" s="79">
        <v>3</v>
      </c>
      <c r="AA48" s="80" t="s">
        <v>372</v>
      </c>
      <c r="AB48" s="80" t="s">
        <v>473</v>
      </c>
      <c r="AC48" s="80" t="s">
        <v>415</v>
      </c>
    </row>
    <row r="49" spans="16:29">
      <c r="Q49" s="80"/>
      <c r="R49" s="80"/>
      <c r="S49" s="80"/>
      <c r="U49" s="79">
        <v>4</v>
      </c>
      <c r="V49" s="80" t="s">
        <v>413</v>
      </c>
      <c r="W49" s="80" t="s">
        <v>373</v>
      </c>
      <c r="X49" s="80" t="s">
        <v>416</v>
      </c>
      <c r="Z49" s="79">
        <v>4</v>
      </c>
      <c r="AA49" s="80" t="s">
        <v>337</v>
      </c>
      <c r="AB49" s="80" t="s">
        <v>375</v>
      </c>
      <c r="AC49" s="80" t="s">
        <v>417</v>
      </c>
    </row>
    <row r="50" spans="16:29">
      <c r="Q50" s="80"/>
      <c r="R50" s="80"/>
      <c r="S50" s="80"/>
      <c r="U50" s="79">
        <v>5</v>
      </c>
      <c r="V50" s="80" t="s">
        <v>419</v>
      </c>
      <c r="W50" s="80" t="s">
        <v>441</v>
      </c>
      <c r="X50" s="80" t="s">
        <v>403</v>
      </c>
      <c r="Y50" s="79" t="s">
        <v>436</v>
      </c>
      <c r="Z50" s="79">
        <v>5</v>
      </c>
      <c r="AA50" s="80" t="s">
        <v>338</v>
      </c>
      <c r="AB50" s="80" t="s">
        <v>402</v>
      </c>
      <c r="AC50" s="80" t="s">
        <v>342</v>
      </c>
    </row>
    <row r="51" spans="16:29">
      <c r="P51" s="81"/>
      <c r="Q51" s="80"/>
      <c r="R51" s="80"/>
      <c r="S51" s="80"/>
      <c r="U51" s="81" t="s">
        <v>335</v>
      </c>
      <c r="V51" s="80" t="s">
        <v>397</v>
      </c>
      <c r="W51" s="80" t="s">
        <v>362</v>
      </c>
      <c r="X51" s="80" t="s">
        <v>426</v>
      </c>
      <c r="Z51" s="81" t="s">
        <v>335</v>
      </c>
      <c r="AA51" s="80" t="s">
        <v>400</v>
      </c>
      <c r="AB51" s="80" t="s">
        <v>370</v>
      </c>
      <c r="AC51" s="80" t="s">
        <v>447</v>
      </c>
    </row>
  </sheetData>
  <mergeCells count="31">
    <mergeCell ref="Q45:S45"/>
    <mergeCell ref="V45:X45"/>
    <mergeCell ref="Q28:S28"/>
    <mergeCell ref="V28:X28"/>
    <mergeCell ref="AA28:AC28"/>
    <mergeCell ref="Q44:S44"/>
    <mergeCell ref="Q37:S37"/>
    <mergeCell ref="V37:X37"/>
    <mergeCell ref="AA37:AC37"/>
    <mergeCell ref="Q36:S36"/>
    <mergeCell ref="AA45:AC45"/>
    <mergeCell ref="AA3:AC3"/>
    <mergeCell ref="Q11:S11"/>
    <mergeCell ref="Q12:S12"/>
    <mergeCell ref="V12:X12"/>
    <mergeCell ref="AA12:AC12"/>
    <mergeCell ref="V3:X3"/>
    <mergeCell ref="V20:X20"/>
    <mergeCell ref="B11:D11"/>
    <mergeCell ref="B12:D12"/>
    <mergeCell ref="B19:D19"/>
    <mergeCell ref="B3:D3"/>
    <mergeCell ref="G3:I3"/>
    <mergeCell ref="G12:I12"/>
    <mergeCell ref="Q19:S19"/>
    <mergeCell ref="G20:I20"/>
    <mergeCell ref="B20:D20"/>
    <mergeCell ref="L3:N3"/>
    <mergeCell ref="L12:N12"/>
    <mergeCell ref="Q3:S3"/>
    <mergeCell ref="Q20:S20"/>
  </mergeCells>
  <phoneticPr fontId="9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5B30-DC65-4B48-89CF-4BD72F2421F0}">
  <dimension ref="A2:T39"/>
  <sheetViews>
    <sheetView topLeftCell="A16" workbookViewId="0">
      <selection activeCell="A20" sqref="A20:T37"/>
    </sheetView>
  </sheetViews>
  <sheetFormatPr defaultRowHeight="12.75"/>
  <cols>
    <col min="1" max="1" width="4.73046875" customWidth="1"/>
    <col min="6" max="6" width="4.6640625" bestFit="1" customWidth="1"/>
    <col min="11" max="11" width="4.6640625" bestFit="1" customWidth="1"/>
    <col min="16" max="16" width="4.6640625" bestFit="1" customWidth="1"/>
  </cols>
  <sheetData>
    <row r="2" spans="1:19">
      <c r="B2" s="139" t="s">
        <v>245</v>
      </c>
      <c r="C2" s="118"/>
      <c r="D2" s="118"/>
      <c r="G2" s="139" t="s">
        <v>246</v>
      </c>
      <c r="H2" s="118"/>
      <c r="I2" s="118"/>
      <c r="K2" s="79"/>
      <c r="L2" s="139" t="s">
        <v>244</v>
      </c>
      <c r="M2" s="118"/>
      <c r="N2" s="118"/>
      <c r="Q2" s="139" t="s">
        <v>246</v>
      </c>
      <c r="R2" s="118"/>
      <c r="S2" s="118"/>
    </row>
    <row r="3" spans="1:19">
      <c r="A3" s="79"/>
      <c r="B3" s="80" t="s">
        <v>334</v>
      </c>
      <c r="C3" s="80" t="s">
        <v>267</v>
      </c>
      <c r="D3" s="80" t="s">
        <v>274</v>
      </c>
      <c r="E3" s="79"/>
      <c r="F3" s="79"/>
      <c r="G3" s="80" t="s">
        <v>334</v>
      </c>
      <c r="H3" s="80" t="s">
        <v>267</v>
      </c>
      <c r="I3" s="80" t="s">
        <v>274</v>
      </c>
      <c r="J3" s="79"/>
      <c r="K3" s="79"/>
      <c r="L3" s="80" t="s">
        <v>334</v>
      </c>
      <c r="M3" s="80" t="s">
        <v>267</v>
      </c>
      <c r="N3" s="80" t="s">
        <v>274</v>
      </c>
      <c r="O3" s="80"/>
      <c r="Q3" s="80" t="s">
        <v>334</v>
      </c>
      <c r="R3" s="80" t="s">
        <v>267</v>
      </c>
      <c r="S3" s="80" t="s">
        <v>274</v>
      </c>
    </row>
    <row r="4" spans="1:19">
      <c r="A4" s="79">
        <v>1</v>
      </c>
      <c r="B4" s="80" t="s">
        <v>336</v>
      </c>
      <c r="C4" s="80" t="s">
        <v>341</v>
      </c>
      <c r="D4" s="80" t="s">
        <v>343</v>
      </c>
      <c r="E4" s="79"/>
      <c r="F4" s="79">
        <v>1</v>
      </c>
      <c r="G4" s="80" t="s">
        <v>398</v>
      </c>
      <c r="H4" s="80" t="s">
        <v>356</v>
      </c>
      <c r="I4" s="80" t="s">
        <v>365</v>
      </c>
      <c r="J4" s="79"/>
      <c r="K4" s="79">
        <v>1</v>
      </c>
      <c r="L4" s="80" t="s">
        <v>377</v>
      </c>
      <c r="M4" s="80" t="s">
        <v>382</v>
      </c>
      <c r="N4" s="80" t="s">
        <v>383</v>
      </c>
      <c r="O4" s="80"/>
      <c r="P4" s="79">
        <v>1</v>
      </c>
      <c r="Q4" s="80" t="s">
        <v>406</v>
      </c>
      <c r="R4" s="80" t="s">
        <v>411</v>
      </c>
      <c r="S4" s="80" t="s">
        <v>407</v>
      </c>
    </row>
    <row r="5" spans="1:19">
      <c r="A5" s="79">
        <v>2</v>
      </c>
      <c r="B5" s="80" t="s">
        <v>337</v>
      </c>
      <c r="C5" s="80" t="s">
        <v>259</v>
      </c>
      <c r="D5" s="80" t="s">
        <v>344</v>
      </c>
      <c r="E5" s="79"/>
      <c r="F5" s="79">
        <v>2</v>
      </c>
      <c r="G5" s="80" t="s">
        <v>351</v>
      </c>
      <c r="H5" s="80" t="s">
        <v>358</v>
      </c>
      <c r="I5" s="80" t="s">
        <v>270</v>
      </c>
      <c r="J5" s="79"/>
      <c r="K5" s="79">
        <v>2</v>
      </c>
      <c r="L5" s="80" t="s">
        <v>378</v>
      </c>
      <c r="M5" s="80" t="s">
        <v>384</v>
      </c>
      <c r="N5" s="80" t="s">
        <v>266</v>
      </c>
      <c r="O5" s="80"/>
      <c r="P5" s="79">
        <v>2</v>
      </c>
      <c r="Q5" s="80" t="s">
        <v>413</v>
      </c>
      <c r="R5" s="80" t="s">
        <v>412</v>
      </c>
      <c r="S5" s="80" t="s">
        <v>444</v>
      </c>
    </row>
    <row r="6" spans="1:19">
      <c r="A6" s="79">
        <v>3</v>
      </c>
      <c r="B6" s="80" t="s">
        <v>338</v>
      </c>
      <c r="C6" s="80" t="s">
        <v>345</v>
      </c>
      <c r="D6" s="80" t="s">
        <v>348</v>
      </c>
      <c r="E6" s="79"/>
      <c r="F6" s="79">
        <v>3</v>
      </c>
      <c r="G6" s="80" t="s">
        <v>399</v>
      </c>
      <c r="H6" s="80" t="s">
        <v>359</v>
      </c>
      <c r="I6" s="80" t="s">
        <v>404</v>
      </c>
      <c r="J6" s="79"/>
      <c r="K6" s="79">
        <v>3</v>
      </c>
      <c r="L6" s="80" t="s">
        <v>379</v>
      </c>
      <c r="M6" s="80" t="s">
        <v>485</v>
      </c>
      <c r="N6" s="80" t="s">
        <v>388</v>
      </c>
      <c r="O6" s="80"/>
      <c r="P6" s="79">
        <v>3</v>
      </c>
      <c r="Q6" s="80" t="s">
        <v>442</v>
      </c>
      <c r="R6" s="80" t="s">
        <v>414</v>
      </c>
      <c r="S6" s="80" t="s">
        <v>366</v>
      </c>
    </row>
    <row r="7" spans="1:19">
      <c r="A7" s="79">
        <v>4</v>
      </c>
      <c r="B7" s="80" t="s">
        <v>339</v>
      </c>
      <c r="C7" s="80" t="s">
        <v>346</v>
      </c>
      <c r="D7" s="80" t="s">
        <v>349</v>
      </c>
      <c r="E7" s="79"/>
      <c r="F7" s="79">
        <v>4</v>
      </c>
      <c r="G7" s="80" t="s">
        <v>394</v>
      </c>
      <c r="H7" s="80" t="s">
        <v>360</v>
      </c>
      <c r="I7" s="80" t="s">
        <v>405</v>
      </c>
      <c r="J7" s="79"/>
      <c r="K7" s="79">
        <v>4</v>
      </c>
      <c r="L7" s="80" t="s">
        <v>380</v>
      </c>
      <c r="M7" s="80" t="s">
        <v>385</v>
      </c>
      <c r="N7" s="80" t="s">
        <v>389</v>
      </c>
      <c r="O7" s="80"/>
      <c r="P7" s="79">
        <v>4</v>
      </c>
      <c r="Q7" s="80" t="s">
        <v>409</v>
      </c>
      <c r="R7" s="80" t="s">
        <v>416</v>
      </c>
      <c r="S7" s="80" t="s">
        <v>415</v>
      </c>
    </row>
    <row r="8" spans="1:19">
      <c r="A8" s="79">
        <v>5</v>
      </c>
      <c r="B8" s="80" t="s">
        <v>340</v>
      </c>
      <c r="C8" s="80" t="s">
        <v>347</v>
      </c>
      <c r="D8" s="80" t="s">
        <v>342</v>
      </c>
      <c r="E8" s="79"/>
      <c r="F8" s="79">
        <v>5</v>
      </c>
      <c r="G8" s="80" t="s">
        <v>400</v>
      </c>
      <c r="H8" s="80" t="s">
        <v>402</v>
      </c>
      <c r="I8" s="80" t="s">
        <v>403</v>
      </c>
      <c r="J8" s="79"/>
      <c r="K8" s="79">
        <v>5</v>
      </c>
      <c r="L8" s="80" t="s">
        <v>381</v>
      </c>
      <c r="M8" s="80" t="s">
        <v>386</v>
      </c>
      <c r="N8" s="80" t="s">
        <v>390</v>
      </c>
      <c r="O8" s="80"/>
      <c r="P8" s="79">
        <v>5</v>
      </c>
      <c r="Q8" s="80" t="s">
        <v>353</v>
      </c>
      <c r="R8" s="80" t="s">
        <v>410</v>
      </c>
      <c r="S8" s="80" t="s">
        <v>417</v>
      </c>
    </row>
    <row r="9" spans="1:19">
      <c r="A9" s="81" t="s">
        <v>335</v>
      </c>
      <c r="B9" s="80" t="s">
        <v>369</v>
      </c>
      <c r="C9" s="80" t="s">
        <v>370</v>
      </c>
      <c r="D9" s="80" t="s">
        <v>376</v>
      </c>
      <c r="E9" s="79"/>
      <c r="F9" s="81" t="s">
        <v>335</v>
      </c>
      <c r="G9" s="80" t="s">
        <v>401</v>
      </c>
      <c r="H9" s="80" t="s">
        <v>362</v>
      </c>
      <c r="I9" s="80" t="s">
        <v>357</v>
      </c>
      <c r="J9" s="79"/>
      <c r="K9" s="81" t="s">
        <v>335</v>
      </c>
      <c r="L9" s="80" t="s">
        <v>368</v>
      </c>
      <c r="M9" s="80" t="s">
        <v>387</v>
      </c>
      <c r="N9" s="80" t="s">
        <v>361</v>
      </c>
      <c r="O9" s="80"/>
      <c r="P9" s="81" t="s">
        <v>335</v>
      </c>
      <c r="Q9" s="80" t="s">
        <v>269</v>
      </c>
      <c r="R9" s="80" t="s">
        <v>373</v>
      </c>
      <c r="S9" s="80" t="s">
        <v>418</v>
      </c>
    </row>
    <row r="10" spans="1:19">
      <c r="A10" s="79"/>
      <c r="B10" s="118"/>
      <c r="C10" s="118"/>
      <c r="D10" s="118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</row>
    <row r="11" spans="1:19">
      <c r="A11" s="79"/>
      <c r="B11" s="139" t="s">
        <v>245</v>
      </c>
      <c r="C11" s="118"/>
      <c r="D11" s="118"/>
      <c r="E11" s="79"/>
      <c r="G11" s="139" t="s">
        <v>246</v>
      </c>
      <c r="H11" s="118"/>
      <c r="I11" s="118"/>
      <c r="J11" s="79"/>
      <c r="L11" s="139" t="s">
        <v>244</v>
      </c>
      <c r="M11" s="118"/>
      <c r="N11" s="118"/>
      <c r="O11" s="79"/>
    </row>
    <row r="12" spans="1:19">
      <c r="A12" s="79"/>
      <c r="B12" s="80" t="s">
        <v>334</v>
      </c>
      <c r="C12" s="80" t="s">
        <v>267</v>
      </c>
      <c r="D12" s="80" t="s">
        <v>274</v>
      </c>
      <c r="E12" s="79"/>
      <c r="F12" s="79"/>
      <c r="G12" s="80" t="s">
        <v>334</v>
      </c>
      <c r="H12" s="80" t="s">
        <v>267</v>
      </c>
      <c r="I12" s="80" t="s">
        <v>274</v>
      </c>
      <c r="J12" s="79"/>
      <c r="L12" s="80" t="s">
        <v>334</v>
      </c>
      <c r="M12" s="80" t="s">
        <v>267</v>
      </c>
      <c r="N12" s="80" t="s">
        <v>274</v>
      </c>
      <c r="O12" s="80"/>
      <c r="Q12" s="80" t="s">
        <v>334</v>
      </c>
      <c r="R12" s="80" t="s">
        <v>267</v>
      </c>
      <c r="S12" s="80" t="s">
        <v>274</v>
      </c>
    </row>
    <row r="13" spans="1:19">
      <c r="A13" s="79">
        <v>1</v>
      </c>
      <c r="B13" s="80" t="s">
        <v>336</v>
      </c>
      <c r="C13" s="80" t="s">
        <v>371</v>
      </c>
      <c r="D13" s="80" t="s">
        <v>374</v>
      </c>
      <c r="E13" s="79"/>
      <c r="F13" s="79">
        <v>1</v>
      </c>
      <c r="G13" s="80" t="s">
        <v>350</v>
      </c>
      <c r="H13" s="80" t="s">
        <v>356</v>
      </c>
      <c r="I13" s="80" t="s">
        <v>357</v>
      </c>
      <c r="J13" s="79"/>
      <c r="K13" s="79">
        <v>1</v>
      </c>
      <c r="L13" s="80" t="s">
        <v>391</v>
      </c>
      <c r="M13" s="80" t="s">
        <v>392</v>
      </c>
      <c r="N13" s="80" t="s">
        <v>383</v>
      </c>
      <c r="O13" s="80"/>
      <c r="P13" s="79">
        <v>1</v>
      </c>
      <c r="Q13" s="80" t="s">
        <v>399</v>
      </c>
      <c r="R13" s="80" t="s">
        <v>421</v>
      </c>
      <c r="S13" s="80" t="s">
        <v>422</v>
      </c>
    </row>
    <row r="14" spans="1:19">
      <c r="A14" s="79">
        <v>2</v>
      </c>
      <c r="B14" s="80" t="s">
        <v>337</v>
      </c>
      <c r="C14" s="80" t="s">
        <v>269</v>
      </c>
      <c r="D14" s="80" t="s">
        <v>344</v>
      </c>
      <c r="E14" s="79"/>
      <c r="F14" s="79">
        <v>2</v>
      </c>
      <c r="G14" s="80" t="s">
        <v>351</v>
      </c>
      <c r="H14" s="80" t="s">
        <v>358</v>
      </c>
      <c r="I14" s="80" t="s">
        <v>366</v>
      </c>
      <c r="J14" s="79"/>
      <c r="K14" s="79">
        <v>2</v>
      </c>
      <c r="L14" s="80" t="s">
        <v>378</v>
      </c>
      <c r="M14" s="80" t="s">
        <v>384</v>
      </c>
      <c r="N14" s="80" t="s">
        <v>395</v>
      </c>
      <c r="O14" s="80"/>
      <c r="P14" s="79">
        <v>2</v>
      </c>
      <c r="Q14" s="80" t="s">
        <v>413</v>
      </c>
      <c r="R14" s="80" t="s">
        <v>414</v>
      </c>
      <c r="S14" s="80" t="s">
        <v>444</v>
      </c>
    </row>
    <row r="15" spans="1:19">
      <c r="A15" s="79">
        <v>3</v>
      </c>
      <c r="B15" s="80" t="s">
        <v>367</v>
      </c>
      <c r="C15" s="80" t="s">
        <v>375</v>
      </c>
      <c r="D15" s="80" t="s">
        <v>348</v>
      </c>
      <c r="E15" s="79"/>
      <c r="F15" s="79">
        <v>3</v>
      </c>
      <c r="G15" s="80" t="s">
        <v>352</v>
      </c>
      <c r="H15" s="80" t="s">
        <v>362</v>
      </c>
      <c r="I15" s="80" t="s">
        <v>365</v>
      </c>
      <c r="J15" s="79"/>
      <c r="K15" s="79">
        <v>3</v>
      </c>
      <c r="L15" s="80" t="s">
        <v>393</v>
      </c>
      <c r="M15" s="80" t="s">
        <v>485</v>
      </c>
      <c r="N15" s="80" t="s">
        <v>388</v>
      </c>
      <c r="O15" s="80" t="s">
        <v>436</v>
      </c>
      <c r="P15" s="79">
        <v>3</v>
      </c>
      <c r="Q15" s="80" t="s">
        <v>419</v>
      </c>
      <c r="R15" s="80" t="s">
        <v>412</v>
      </c>
      <c r="S15" s="80" t="s">
        <v>416</v>
      </c>
    </row>
    <row r="16" spans="1:19">
      <c r="A16" s="79">
        <v>4</v>
      </c>
      <c r="B16" s="80" t="s">
        <v>339</v>
      </c>
      <c r="C16" s="80" t="s">
        <v>340</v>
      </c>
      <c r="D16" s="80" t="s">
        <v>372</v>
      </c>
      <c r="E16" s="79"/>
      <c r="F16" s="79">
        <v>4</v>
      </c>
      <c r="G16" s="80" t="s">
        <v>353</v>
      </c>
      <c r="H16" s="80" t="s">
        <v>359</v>
      </c>
      <c r="I16" s="80" t="s">
        <v>364</v>
      </c>
      <c r="J16" s="79"/>
      <c r="K16" s="79">
        <v>4</v>
      </c>
      <c r="L16" s="80" t="s">
        <v>380</v>
      </c>
      <c r="M16" s="80" t="s">
        <v>385</v>
      </c>
      <c r="N16" s="80" t="s">
        <v>396</v>
      </c>
      <c r="O16" s="80"/>
      <c r="P16" s="79">
        <v>4</v>
      </c>
      <c r="Q16" s="80" t="s">
        <v>401</v>
      </c>
      <c r="R16" s="80" t="s">
        <v>266</v>
      </c>
      <c r="S16" s="80" t="s">
        <v>415</v>
      </c>
    </row>
    <row r="17" spans="1:20">
      <c r="A17" s="79">
        <v>5</v>
      </c>
      <c r="B17" s="80" t="s">
        <v>368</v>
      </c>
      <c r="C17" s="80" t="s">
        <v>373</v>
      </c>
      <c r="D17" s="80" t="s">
        <v>342</v>
      </c>
      <c r="E17" s="79"/>
      <c r="F17" s="79">
        <v>5</v>
      </c>
      <c r="G17" s="80" t="s">
        <v>354</v>
      </c>
      <c r="H17" s="80" t="s">
        <v>261</v>
      </c>
      <c r="I17" s="80" t="s">
        <v>363</v>
      </c>
      <c r="J17" s="79"/>
      <c r="K17" s="79">
        <v>5</v>
      </c>
      <c r="L17" s="80" t="s">
        <v>394</v>
      </c>
      <c r="M17" s="80" t="s">
        <v>386</v>
      </c>
      <c r="N17" s="80" t="s">
        <v>389</v>
      </c>
      <c r="O17" s="80" t="s">
        <v>436</v>
      </c>
      <c r="P17" s="79">
        <v>5</v>
      </c>
      <c r="Q17" s="80" t="s">
        <v>400</v>
      </c>
      <c r="R17" s="80" t="s">
        <v>390</v>
      </c>
      <c r="S17" s="80" t="s">
        <v>420</v>
      </c>
    </row>
    <row r="18" spans="1:20">
      <c r="A18" s="81" t="s">
        <v>335</v>
      </c>
      <c r="B18" s="80" t="s">
        <v>369</v>
      </c>
      <c r="C18" s="80" t="s">
        <v>370</v>
      </c>
      <c r="D18" s="80" t="s">
        <v>376</v>
      </c>
      <c r="E18" s="79"/>
      <c r="F18" s="81" t="s">
        <v>335</v>
      </c>
      <c r="G18" s="80" t="s">
        <v>355</v>
      </c>
      <c r="H18" s="80" t="s">
        <v>360</v>
      </c>
      <c r="I18" s="80" t="s">
        <v>361</v>
      </c>
      <c r="J18" s="79"/>
      <c r="K18" s="81" t="s">
        <v>335</v>
      </c>
      <c r="L18" s="80" t="s">
        <v>397</v>
      </c>
      <c r="M18" s="80" t="s">
        <v>387</v>
      </c>
      <c r="N18" s="80" t="s">
        <v>343</v>
      </c>
      <c r="O18" s="80"/>
      <c r="P18" s="81" t="s">
        <v>335</v>
      </c>
      <c r="Q18" s="80" t="s">
        <v>381</v>
      </c>
      <c r="R18" s="80" t="s">
        <v>259</v>
      </c>
      <c r="S18" s="80" t="s">
        <v>343</v>
      </c>
    </row>
    <row r="19" spans="1:20">
      <c r="A19" s="81"/>
      <c r="B19" s="80"/>
      <c r="C19" s="80"/>
      <c r="D19" s="8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20">
      <c r="A20" s="79"/>
      <c r="B20" s="118" t="s">
        <v>277</v>
      </c>
      <c r="C20" s="118"/>
      <c r="D20" s="118"/>
      <c r="E20" s="79"/>
      <c r="F20" s="79"/>
      <c r="G20" s="118" t="s">
        <v>277</v>
      </c>
      <c r="H20" s="118"/>
      <c r="I20" s="118"/>
      <c r="J20" s="79"/>
      <c r="K20" s="79"/>
      <c r="L20" s="118" t="s">
        <v>277</v>
      </c>
      <c r="M20" s="118"/>
      <c r="N20" s="118"/>
      <c r="O20" s="79"/>
      <c r="P20" s="79"/>
      <c r="Q20" s="118" t="s">
        <v>277</v>
      </c>
      <c r="R20" s="118"/>
      <c r="S20" s="118"/>
      <c r="T20" s="79"/>
    </row>
    <row r="21" spans="1:20">
      <c r="A21" s="79"/>
      <c r="B21" s="80" t="s">
        <v>334</v>
      </c>
      <c r="C21" s="80" t="s">
        <v>267</v>
      </c>
      <c r="D21" s="80" t="s">
        <v>274</v>
      </c>
      <c r="E21" s="79"/>
      <c r="F21" s="79"/>
      <c r="G21" s="80" t="s">
        <v>334</v>
      </c>
      <c r="H21" s="80" t="s">
        <v>267</v>
      </c>
      <c r="I21" s="80" t="s">
        <v>274</v>
      </c>
      <c r="J21" s="79"/>
      <c r="K21" s="79"/>
      <c r="L21" s="80" t="s">
        <v>334</v>
      </c>
      <c r="M21" s="80" t="s">
        <v>267</v>
      </c>
      <c r="N21" s="80" t="s">
        <v>274</v>
      </c>
      <c r="O21" s="79"/>
      <c r="P21" s="79"/>
      <c r="Q21" s="80" t="s">
        <v>334</v>
      </c>
      <c r="R21" s="80" t="s">
        <v>267</v>
      </c>
      <c r="S21" s="80" t="s">
        <v>274</v>
      </c>
      <c r="T21" s="79"/>
    </row>
    <row r="22" spans="1:20">
      <c r="A22" s="79">
        <v>1</v>
      </c>
      <c r="B22" s="80" t="s">
        <v>336</v>
      </c>
      <c r="C22" s="80" t="s">
        <v>341</v>
      </c>
      <c r="D22" s="80" t="s">
        <v>343</v>
      </c>
      <c r="E22" s="79"/>
      <c r="F22" s="79">
        <v>1</v>
      </c>
      <c r="G22" s="80" t="s">
        <v>398</v>
      </c>
      <c r="H22" s="80" t="s">
        <v>356</v>
      </c>
      <c r="I22" s="80" t="s">
        <v>365</v>
      </c>
      <c r="J22" s="79"/>
      <c r="K22" s="79">
        <v>1</v>
      </c>
      <c r="L22" s="80" t="s">
        <v>377</v>
      </c>
      <c r="M22" s="80" t="s">
        <v>382</v>
      </c>
      <c r="N22" s="80" t="s">
        <v>383</v>
      </c>
      <c r="O22" s="79"/>
      <c r="P22" s="79">
        <v>1</v>
      </c>
      <c r="Q22" s="80" t="s">
        <v>406</v>
      </c>
      <c r="R22" s="80" t="s">
        <v>411</v>
      </c>
      <c r="S22" s="80" t="s">
        <v>489</v>
      </c>
      <c r="T22" s="79"/>
    </row>
    <row r="23" spans="1:20">
      <c r="A23" s="79">
        <v>2</v>
      </c>
      <c r="B23" s="80" t="s">
        <v>337</v>
      </c>
      <c r="C23" s="80" t="s">
        <v>259</v>
      </c>
      <c r="D23" s="80" t="s">
        <v>345</v>
      </c>
      <c r="E23" s="79"/>
      <c r="F23" s="79">
        <v>2</v>
      </c>
      <c r="G23" s="80" t="s">
        <v>351</v>
      </c>
      <c r="H23" s="80" t="s">
        <v>358</v>
      </c>
      <c r="I23" s="80" t="s">
        <v>364</v>
      </c>
      <c r="J23" s="79"/>
      <c r="K23" s="79">
        <v>2</v>
      </c>
      <c r="L23" s="80" t="s">
        <v>378</v>
      </c>
      <c r="M23" s="80" t="s">
        <v>384</v>
      </c>
      <c r="N23" s="80" t="s">
        <v>395</v>
      </c>
      <c r="O23" s="79"/>
      <c r="P23" s="79">
        <v>2</v>
      </c>
      <c r="Q23" s="80" t="s">
        <v>413</v>
      </c>
      <c r="R23" s="80" t="s">
        <v>412</v>
      </c>
      <c r="S23" s="80" t="s">
        <v>444</v>
      </c>
      <c r="T23" s="79"/>
    </row>
    <row r="24" spans="1:20">
      <c r="A24" s="79">
        <v>3</v>
      </c>
      <c r="B24" s="80" t="s">
        <v>338</v>
      </c>
      <c r="C24" s="80" t="s">
        <v>473</v>
      </c>
      <c r="D24" s="80" t="s">
        <v>348</v>
      </c>
      <c r="E24" s="79"/>
      <c r="F24" s="79">
        <v>3</v>
      </c>
      <c r="G24" s="80" t="s">
        <v>399</v>
      </c>
      <c r="H24" s="80" t="s">
        <v>359</v>
      </c>
      <c r="I24" s="80" t="s">
        <v>404</v>
      </c>
      <c r="J24" s="79"/>
      <c r="K24" s="79">
        <v>3</v>
      </c>
      <c r="L24" s="80" t="s">
        <v>379</v>
      </c>
      <c r="M24" s="80" t="s">
        <v>485</v>
      </c>
      <c r="N24" s="80" t="s">
        <v>388</v>
      </c>
      <c r="O24" s="79"/>
      <c r="P24" s="79">
        <v>3</v>
      </c>
      <c r="Q24" s="80" t="s">
        <v>394</v>
      </c>
      <c r="R24" s="80" t="s">
        <v>414</v>
      </c>
      <c r="S24" s="80" t="s">
        <v>366</v>
      </c>
      <c r="T24" s="79"/>
    </row>
    <row r="25" spans="1:20">
      <c r="A25" s="79">
        <v>4</v>
      </c>
      <c r="B25" s="80" t="s">
        <v>339</v>
      </c>
      <c r="C25" s="80" t="s">
        <v>346</v>
      </c>
      <c r="D25" s="80" t="s">
        <v>349</v>
      </c>
      <c r="E25" s="79"/>
      <c r="F25" s="79">
        <v>4</v>
      </c>
      <c r="G25" s="80" t="s">
        <v>442</v>
      </c>
      <c r="H25" s="80" t="s">
        <v>360</v>
      </c>
      <c r="I25" s="80" t="s">
        <v>405</v>
      </c>
      <c r="J25" s="79"/>
      <c r="K25" s="79">
        <v>4</v>
      </c>
      <c r="L25" s="80" t="s">
        <v>380</v>
      </c>
      <c r="M25" s="80" t="s">
        <v>385</v>
      </c>
      <c r="N25" s="80" t="s">
        <v>417</v>
      </c>
      <c r="O25" s="79"/>
      <c r="P25" s="79">
        <v>4</v>
      </c>
      <c r="Q25" s="80" t="s">
        <v>409</v>
      </c>
      <c r="R25" s="80" t="s">
        <v>446</v>
      </c>
      <c r="S25" s="80" t="s">
        <v>415</v>
      </c>
      <c r="T25" s="79"/>
    </row>
    <row r="26" spans="1:20">
      <c r="A26" s="79">
        <v>5</v>
      </c>
      <c r="B26" s="80" t="s">
        <v>340</v>
      </c>
      <c r="C26" s="80" t="s">
        <v>347</v>
      </c>
      <c r="D26" s="80" t="s">
        <v>342</v>
      </c>
      <c r="E26" s="79"/>
      <c r="F26" s="79">
        <v>5</v>
      </c>
      <c r="G26" s="80" t="s">
        <v>400</v>
      </c>
      <c r="H26" s="80" t="s">
        <v>402</v>
      </c>
      <c r="I26" s="80" t="s">
        <v>403</v>
      </c>
      <c r="J26" s="79"/>
      <c r="K26" s="79">
        <v>5</v>
      </c>
      <c r="L26" s="80" t="s">
        <v>381</v>
      </c>
      <c r="M26" s="80" t="s">
        <v>386</v>
      </c>
      <c r="N26" s="80" t="s">
        <v>389</v>
      </c>
      <c r="O26" s="79"/>
      <c r="P26" s="79">
        <v>5</v>
      </c>
      <c r="Q26" s="80" t="s">
        <v>353</v>
      </c>
      <c r="R26" s="80" t="s">
        <v>390</v>
      </c>
      <c r="S26" s="80" t="s">
        <v>416</v>
      </c>
      <c r="T26" s="79"/>
    </row>
    <row r="27" spans="1:20">
      <c r="A27" s="81" t="s">
        <v>335</v>
      </c>
      <c r="B27" s="80" t="s">
        <v>369</v>
      </c>
      <c r="C27" s="80" t="s">
        <v>370</v>
      </c>
      <c r="D27" s="80" t="s">
        <v>376</v>
      </c>
      <c r="E27" s="79"/>
      <c r="F27" s="81" t="s">
        <v>335</v>
      </c>
      <c r="G27" s="80" t="s">
        <v>368</v>
      </c>
      <c r="H27" s="80" t="s">
        <v>362</v>
      </c>
      <c r="I27" s="80" t="s">
        <v>357</v>
      </c>
      <c r="J27" s="79"/>
      <c r="K27" s="81" t="s">
        <v>335</v>
      </c>
      <c r="L27" s="80" t="s">
        <v>397</v>
      </c>
      <c r="M27" s="80" t="s">
        <v>387</v>
      </c>
      <c r="N27" s="80" t="s">
        <v>458</v>
      </c>
      <c r="O27" s="79"/>
      <c r="P27" s="81" t="s">
        <v>335</v>
      </c>
      <c r="Q27" s="80" t="s">
        <v>419</v>
      </c>
      <c r="R27" s="80" t="s">
        <v>373</v>
      </c>
      <c r="S27" s="80" t="s">
        <v>418</v>
      </c>
      <c r="T27" s="79"/>
    </row>
    <row r="28" spans="1:20">
      <c r="A28" s="79"/>
      <c r="B28" s="80"/>
      <c r="C28" s="80"/>
      <c r="D28" s="80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</row>
    <row r="29" spans="1:20">
      <c r="A29" s="79"/>
      <c r="B29" s="80"/>
      <c r="C29" s="80"/>
      <c r="D29" s="80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</row>
    <row r="30" spans="1:20">
      <c r="A30" s="79"/>
      <c r="B30" s="118" t="s">
        <v>263</v>
      </c>
      <c r="C30" s="118"/>
      <c r="D30" s="118"/>
      <c r="E30" s="79"/>
      <c r="F30" s="79"/>
      <c r="G30" s="118" t="s">
        <v>263</v>
      </c>
      <c r="H30" s="118"/>
      <c r="I30" s="118"/>
      <c r="J30" s="79"/>
      <c r="K30" s="79"/>
      <c r="L30" s="118" t="s">
        <v>263</v>
      </c>
      <c r="M30" s="118"/>
      <c r="N30" s="118"/>
      <c r="O30" s="79"/>
      <c r="P30" s="79"/>
      <c r="Q30" s="118" t="s">
        <v>263</v>
      </c>
      <c r="R30" s="118"/>
      <c r="S30" s="118"/>
      <c r="T30" s="79"/>
    </row>
    <row r="31" spans="1:20">
      <c r="A31" s="79"/>
      <c r="B31" s="80" t="s">
        <v>334</v>
      </c>
      <c r="C31" s="80" t="s">
        <v>267</v>
      </c>
      <c r="D31" s="80" t="s">
        <v>274</v>
      </c>
      <c r="E31" s="79"/>
      <c r="F31" s="79"/>
      <c r="G31" s="80" t="s">
        <v>334</v>
      </c>
      <c r="H31" s="80" t="s">
        <v>267</v>
      </c>
      <c r="I31" s="80" t="s">
        <v>274</v>
      </c>
      <c r="J31" s="79"/>
      <c r="K31" s="79"/>
      <c r="L31" s="80" t="s">
        <v>334</v>
      </c>
      <c r="M31" s="80" t="s">
        <v>267</v>
      </c>
      <c r="N31" s="80" t="s">
        <v>274</v>
      </c>
      <c r="O31" s="79"/>
      <c r="P31" s="79"/>
      <c r="Q31" s="80" t="s">
        <v>334</v>
      </c>
      <c r="R31" s="80" t="s">
        <v>267</v>
      </c>
      <c r="S31" s="80" t="s">
        <v>274</v>
      </c>
      <c r="T31" s="79"/>
    </row>
    <row r="32" spans="1:20">
      <c r="A32" s="79">
        <v>1</v>
      </c>
      <c r="B32" s="80" t="s">
        <v>336</v>
      </c>
      <c r="C32" s="80" t="s">
        <v>371</v>
      </c>
      <c r="D32" s="80" t="s">
        <v>340</v>
      </c>
      <c r="E32" s="79"/>
      <c r="F32" s="79">
        <v>1</v>
      </c>
      <c r="G32" s="80" t="s">
        <v>350</v>
      </c>
      <c r="H32" s="80" t="s">
        <v>356</v>
      </c>
      <c r="I32" s="80" t="s">
        <v>357</v>
      </c>
      <c r="J32" s="79"/>
      <c r="K32" s="79">
        <v>1</v>
      </c>
      <c r="L32" s="80" t="s">
        <v>391</v>
      </c>
      <c r="M32" s="80" t="s">
        <v>392</v>
      </c>
      <c r="N32" s="80" t="s">
        <v>383</v>
      </c>
      <c r="O32" s="79"/>
      <c r="P32" s="79">
        <v>1</v>
      </c>
      <c r="Q32" s="80" t="s">
        <v>407</v>
      </c>
      <c r="R32" s="80" t="s">
        <v>421</v>
      </c>
      <c r="S32" s="80" t="s">
        <v>422</v>
      </c>
      <c r="T32" s="79"/>
    </row>
    <row r="33" spans="1:20">
      <c r="A33" s="79">
        <v>2</v>
      </c>
      <c r="B33" s="80" t="s">
        <v>337</v>
      </c>
      <c r="C33" s="80" t="s">
        <v>269</v>
      </c>
      <c r="D33" s="80" t="s">
        <v>458</v>
      </c>
      <c r="E33" s="79"/>
      <c r="F33" s="79">
        <v>2</v>
      </c>
      <c r="G33" s="80" t="s">
        <v>351</v>
      </c>
      <c r="H33" s="80" t="s">
        <v>358</v>
      </c>
      <c r="I33" s="80" t="s">
        <v>366</v>
      </c>
      <c r="J33" s="79"/>
      <c r="K33" s="79">
        <v>2</v>
      </c>
      <c r="L33" s="80" t="s">
        <v>378</v>
      </c>
      <c r="M33" s="80" t="s">
        <v>384</v>
      </c>
      <c r="N33" s="80" t="s">
        <v>374</v>
      </c>
      <c r="O33" s="79"/>
      <c r="P33" s="79">
        <v>2</v>
      </c>
      <c r="Q33" s="80" t="s">
        <v>413</v>
      </c>
      <c r="R33" s="80" t="s">
        <v>414</v>
      </c>
      <c r="S33" s="80" t="s">
        <v>444</v>
      </c>
      <c r="T33" s="79"/>
    </row>
    <row r="34" spans="1:20">
      <c r="A34" s="79">
        <v>3</v>
      </c>
      <c r="B34" s="80" t="s">
        <v>367</v>
      </c>
      <c r="C34" s="80" t="s">
        <v>375</v>
      </c>
      <c r="D34" s="80" t="s">
        <v>348</v>
      </c>
      <c r="E34" s="79"/>
      <c r="F34" s="79">
        <v>3</v>
      </c>
      <c r="G34" s="80" t="s">
        <v>352</v>
      </c>
      <c r="H34" s="80" t="s">
        <v>362</v>
      </c>
      <c r="I34" s="80" t="s">
        <v>365</v>
      </c>
      <c r="J34" s="79"/>
      <c r="K34" s="79">
        <v>3</v>
      </c>
      <c r="L34" s="80" t="s">
        <v>393</v>
      </c>
      <c r="M34" s="80" t="s">
        <v>485</v>
      </c>
      <c r="N34" s="80" t="s">
        <v>388</v>
      </c>
      <c r="O34" s="79"/>
      <c r="P34" s="79">
        <v>3</v>
      </c>
      <c r="Q34" s="80" t="s">
        <v>419</v>
      </c>
      <c r="R34" s="80" t="s">
        <v>412</v>
      </c>
      <c r="S34" s="80" t="s">
        <v>416</v>
      </c>
      <c r="T34" s="79"/>
    </row>
    <row r="35" spans="1:20">
      <c r="A35" s="79">
        <v>4</v>
      </c>
      <c r="B35" s="80" t="s">
        <v>339</v>
      </c>
      <c r="C35" s="80" t="s">
        <v>346</v>
      </c>
      <c r="D35" s="80" t="s">
        <v>372</v>
      </c>
      <c r="E35" s="79"/>
      <c r="F35" s="79">
        <v>4</v>
      </c>
      <c r="G35" s="80" t="s">
        <v>353</v>
      </c>
      <c r="H35" s="80" t="s">
        <v>359</v>
      </c>
      <c r="I35" s="80" t="s">
        <v>270</v>
      </c>
      <c r="J35" s="79"/>
      <c r="K35" s="79">
        <v>4</v>
      </c>
      <c r="L35" s="80" t="s">
        <v>380</v>
      </c>
      <c r="M35" s="80" t="s">
        <v>385</v>
      </c>
      <c r="N35" s="80" t="s">
        <v>396</v>
      </c>
      <c r="O35" s="79"/>
      <c r="P35" s="79">
        <v>4</v>
      </c>
      <c r="Q35" s="80" t="s">
        <v>401</v>
      </c>
      <c r="R35" s="80" t="s">
        <v>266</v>
      </c>
      <c r="S35" s="80" t="s">
        <v>415</v>
      </c>
      <c r="T35" s="79" t="s">
        <v>445</v>
      </c>
    </row>
    <row r="36" spans="1:20">
      <c r="A36" s="79">
        <v>5</v>
      </c>
      <c r="B36" s="80" t="s">
        <v>368</v>
      </c>
      <c r="C36" s="80" t="s">
        <v>373</v>
      </c>
      <c r="D36" s="80" t="s">
        <v>342</v>
      </c>
      <c r="E36" s="79"/>
      <c r="F36" s="79">
        <v>5</v>
      </c>
      <c r="G36" s="80" t="s">
        <v>354</v>
      </c>
      <c r="H36" s="80" t="s">
        <v>261</v>
      </c>
      <c r="I36" s="80" t="s">
        <v>363</v>
      </c>
      <c r="J36" s="79"/>
      <c r="K36" s="79">
        <v>5</v>
      </c>
      <c r="L36" s="80" t="s">
        <v>394</v>
      </c>
      <c r="M36" s="80" t="s">
        <v>386</v>
      </c>
      <c r="N36" s="80" t="s">
        <v>389</v>
      </c>
      <c r="O36" s="79"/>
      <c r="P36" s="79">
        <v>5</v>
      </c>
      <c r="Q36" s="80" t="s">
        <v>400</v>
      </c>
      <c r="R36" s="80" t="s">
        <v>390</v>
      </c>
      <c r="S36" s="80" t="s">
        <v>420</v>
      </c>
      <c r="T36" s="79"/>
    </row>
    <row r="37" spans="1:20">
      <c r="A37" s="81" t="s">
        <v>335</v>
      </c>
      <c r="B37" s="80" t="s">
        <v>369</v>
      </c>
      <c r="C37" s="80" t="s">
        <v>370</v>
      </c>
      <c r="D37" s="80" t="s">
        <v>376</v>
      </c>
      <c r="E37" s="79"/>
      <c r="F37" s="81" t="s">
        <v>335</v>
      </c>
      <c r="G37" s="80" t="s">
        <v>355</v>
      </c>
      <c r="H37" s="80" t="s">
        <v>360</v>
      </c>
      <c r="I37" s="80" t="s">
        <v>361</v>
      </c>
      <c r="J37" s="79"/>
      <c r="K37" s="81" t="s">
        <v>335</v>
      </c>
      <c r="L37" s="80" t="s">
        <v>381</v>
      </c>
      <c r="M37" s="80" t="s">
        <v>387</v>
      </c>
      <c r="N37" s="80"/>
      <c r="O37" s="79"/>
      <c r="P37" s="81" t="s">
        <v>335</v>
      </c>
      <c r="Q37" s="80" t="s">
        <v>381</v>
      </c>
      <c r="R37" s="80" t="s">
        <v>259</v>
      </c>
      <c r="S37" s="80" t="s">
        <v>343</v>
      </c>
      <c r="T37" s="79"/>
    </row>
    <row r="38" spans="1:20">
      <c r="A38" s="81"/>
      <c r="B38" s="80"/>
      <c r="C38" s="80"/>
      <c r="D38" s="80"/>
    </row>
    <row r="39" spans="1:20">
      <c r="C39" s="49"/>
      <c r="D39" s="49"/>
    </row>
  </sheetData>
  <mergeCells count="16">
    <mergeCell ref="B30:D30"/>
    <mergeCell ref="L30:N30"/>
    <mergeCell ref="Q30:S30"/>
    <mergeCell ref="Q2:S2"/>
    <mergeCell ref="L11:N11"/>
    <mergeCell ref="G30:I30"/>
    <mergeCell ref="G20:I20"/>
    <mergeCell ref="L20:N20"/>
    <mergeCell ref="Q20:S20"/>
    <mergeCell ref="B2:D2"/>
    <mergeCell ref="G2:I2"/>
    <mergeCell ref="L2:N2"/>
    <mergeCell ref="B11:D11"/>
    <mergeCell ref="B10:D10"/>
    <mergeCell ref="B20:D20"/>
    <mergeCell ref="G11:I11"/>
  </mergeCells>
  <phoneticPr fontId="9"/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0300-B5DB-40DE-8E8F-3768AC258131}">
  <dimension ref="A3:AC26"/>
  <sheetViews>
    <sheetView topLeftCell="A2" workbookViewId="0">
      <selection activeCell="G18" sqref="G18"/>
    </sheetView>
  </sheetViews>
  <sheetFormatPr defaultRowHeight="12.75"/>
  <cols>
    <col min="1" max="1" width="4.6640625" bestFit="1" customWidth="1"/>
    <col min="5" max="6" width="8.59765625" customWidth="1"/>
    <col min="11" max="12" width="8.59765625" customWidth="1"/>
  </cols>
  <sheetData>
    <row r="3" spans="1:29">
      <c r="A3" s="79"/>
      <c r="B3" s="118" t="s">
        <v>452</v>
      </c>
      <c r="C3" s="118"/>
      <c r="D3" s="118"/>
      <c r="E3" s="79"/>
      <c r="F3" s="79"/>
      <c r="G3" s="79"/>
      <c r="H3" s="118" t="s">
        <v>491</v>
      </c>
      <c r="I3" s="118"/>
      <c r="J3" s="118"/>
      <c r="K3" s="79"/>
      <c r="L3" s="79"/>
      <c r="M3" s="79"/>
      <c r="N3" s="118" t="s">
        <v>455</v>
      </c>
      <c r="O3" s="118"/>
      <c r="P3" s="118"/>
      <c r="Q3" s="79"/>
      <c r="R3" s="79"/>
      <c r="S3" s="79"/>
      <c r="T3" s="79"/>
      <c r="U3" s="79"/>
      <c r="V3" s="79"/>
      <c r="X3" s="79"/>
      <c r="Y3" s="118"/>
      <c r="Z3" s="118"/>
      <c r="AA3" s="118"/>
      <c r="AB3" s="79"/>
      <c r="AC3" s="79"/>
    </row>
    <row r="4" spans="1:29">
      <c r="A4" s="79"/>
      <c r="B4" s="80" t="s">
        <v>334</v>
      </c>
      <c r="C4" s="80" t="s">
        <v>267</v>
      </c>
      <c r="D4" s="80" t="s">
        <v>274</v>
      </c>
      <c r="E4" s="79" t="s">
        <v>436</v>
      </c>
      <c r="F4" s="79" t="s">
        <v>437</v>
      </c>
      <c r="G4" s="79"/>
      <c r="H4" s="80" t="s">
        <v>334</v>
      </c>
      <c r="I4" s="80" t="s">
        <v>267</v>
      </c>
      <c r="J4" s="80" t="s">
        <v>274</v>
      </c>
      <c r="K4" s="79" t="s">
        <v>436</v>
      </c>
      <c r="L4" s="79" t="s">
        <v>437</v>
      </c>
      <c r="M4" s="79"/>
      <c r="N4" s="80" t="s">
        <v>334</v>
      </c>
      <c r="O4" s="80" t="s">
        <v>267</v>
      </c>
      <c r="P4" s="80" t="s">
        <v>274</v>
      </c>
      <c r="Q4" s="79" t="s">
        <v>436</v>
      </c>
      <c r="R4" s="79" t="s">
        <v>437</v>
      </c>
      <c r="S4" s="80"/>
      <c r="T4" s="80"/>
      <c r="U4" s="79"/>
      <c r="V4" s="79"/>
      <c r="X4" s="79"/>
      <c r="Y4" s="80"/>
      <c r="Z4" s="80"/>
      <c r="AA4" s="80"/>
      <c r="AB4" s="79"/>
      <c r="AC4" s="79"/>
    </row>
    <row r="5" spans="1:29">
      <c r="A5" s="79">
        <v>1</v>
      </c>
      <c r="B5" s="80" t="s">
        <v>389</v>
      </c>
      <c r="C5" s="80" t="s">
        <v>441</v>
      </c>
      <c r="D5" s="80" t="s">
        <v>415</v>
      </c>
      <c r="E5" s="79"/>
      <c r="F5" s="79"/>
      <c r="G5" s="79">
        <v>1</v>
      </c>
      <c r="H5" s="80" t="s">
        <v>435</v>
      </c>
      <c r="I5" s="80" t="s">
        <v>346</v>
      </c>
      <c r="J5" s="80" t="s">
        <v>416</v>
      </c>
      <c r="K5" s="79" t="s">
        <v>435</v>
      </c>
      <c r="L5" s="79"/>
      <c r="M5" s="79">
        <v>1</v>
      </c>
      <c r="N5" s="80" t="s">
        <v>367</v>
      </c>
      <c r="O5" s="80" t="s">
        <v>371</v>
      </c>
      <c r="P5" s="80" t="s">
        <v>372</v>
      </c>
      <c r="Q5" s="79"/>
      <c r="R5" s="79"/>
      <c r="S5" s="80"/>
      <c r="T5" s="80"/>
      <c r="U5" s="79"/>
      <c r="V5" s="79"/>
      <c r="X5" s="79"/>
      <c r="Y5" s="80"/>
      <c r="Z5" s="80"/>
      <c r="AA5" s="80"/>
      <c r="AB5" s="79"/>
      <c r="AC5" s="79"/>
    </row>
    <row r="6" spans="1:29">
      <c r="A6" s="79">
        <v>2</v>
      </c>
      <c r="B6" s="80" t="s">
        <v>379</v>
      </c>
      <c r="C6" s="80" t="s">
        <v>382</v>
      </c>
      <c r="D6" s="80" t="s">
        <v>395</v>
      </c>
      <c r="E6" s="79" t="s">
        <v>389</v>
      </c>
      <c r="F6" s="79"/>
      <c r="G6" s="79">
        <v>2</v>
      </c>
      <c r="H6" s="80" t="s">
        <v>497</v>
      </c>
      <c r="I6" s="80" t="s">
        <v>412</v>
      </c>
      <c r="J6" s="80" t="s">
        <v>363</v>
      </c>
      <c r="K6" s="79" t="s">
        <v>363</v>
      </c>
      <c r="L6" s="79"/>
      <c r="M6" s="79">
        <v>2</v>
      </c>
      <c r="N6" s="80" t="s">
        <v>427</v>
      </c>
      <c r="O6" s="80" t="s">
        <v>448</v>
      </c>
      <c r="P6" s="80" t="s">
        <v>495</v>
      </c>
      <c r="Q6" s="79"/>
      <c r="R6" s="79" t="s">
        <v>445</v>
      </c>
      <c r="S6" s="80"/>
      <c r="T6" s="80"/>
      <c r="U6" s="79"/>
      <c r="V6" s="79"/>
      <c r="X6" s="79"/>
      <c r="Y6" s="80"/>
      <c r="Z6" s="80"/>
      <c r="AA6" s="80"/>
      <c r="AB6" s="79"/>
      <c r="AC6" s="79"/>
    </row>
    <row r="7" spans="1:29">
      <c r="A7" s="79">
        <v>3</v>
      </c>
      <c r="B7" s="80" t="s">
        <v>407</v>
      </c>
      <c r="C7" s="80" t="s">
        <v>384</v>
      </c>
      <c r="D7" s="80" t="s">
        <v>388</v>
      </c>
      <c r="E7" s="79"/>
      <c r="F7" s="79"/>
      <c r="G7" s="79">
        <v>3</v>
      </c>
      <c r="H7" s="80" t="s">
        <v>398</v>
      </c>
      <c r="I7" s="80" t="s">
        <v>443</v>
      </c>
      <c r="J7" s="80" t="s">
        <v>496</v>
      </c>
      <c r="K7" s="79"/>
      <c r="L7" s="79" t="s">
        <v>406</v>
      </c>
      <c r="M7" s="79">
        <v>3</v>
      </c>
      <c r="N7" s="80" t="s">
        <v>337</v>
      </c>
      <c r="O7" s="80" t="s">
        <v>375</v>
      </c>
      <c r="P7" s="80" t="s">
        <v>458</v>
      </c>
      <c r="Q7" s="79"/>
      <c r="R7" s="79"/>
      <c r="S7" s="80"/>
      <c r="T7" s="80"/>
      <c r="U7" s="79"/>
      <c r="V7" s="79"/>
      <c r="X7" s="79"/>
      <c r="Y7" s="80"/>
      <c r="Z7" s="80"/>
      <c r="AA7" s="80"/>
      <c r="AB7" s="79"/>
      <c r="AC7" s="79"/>
    </row>
    <row r="8" spans="1:29">
      <c r="A8" s="79">
        <v>4</v>
      </c>
      <c r="B8" s="80" t="s">
        <v>380</v>
      </c>
      <c r="C8" s="80" t="s">
        <v>485</v>
      </c>
      <c r="D8" s="80" t="s">
        <v>417</v>
      </c>
      <c r="E8" s="79"/>
      <c r="F8" s="79"/>
      <c r="G8" s="79">
        <v>4</v>
      </c>
      <c r="H8" s="80" t="s">
        <v>413</v>
      </c>
      <c r="I8" s="80" t="s">
        <v>359</v>
      </c>
      <c r="J8" s="80" t="s">
        <v>444</v>
      </c>
      <c r="K8" s="79"/>
      <c r="L8" s="79"/>
      <c r="M8" s="79">
        <v>4</v>
      </c>
      <c r="N8" s="80" t="s">
        <v>339</v>
      </c>
      <c r="O8" s="80" t="s">
        <v>429</v>
      </c>
      <c r="P8" s="80" t="s">
        <v>342</v>
      </c>
      <c r="Q8" s="79"/>
      <c r="R8" s="79"/>
      <c r="S8" s="80"/>
      <c r="T8" s="80"/>
      <c r="U8" s="79"/>
      <c r="V8" s="79"/>
      <c r="X8" s="79"/>
      <c r="Y8" s="80"/>
      <c r="Z8" s="80"/>
      <c r="AA8" s="80"/>
      <c r="AB8" s="79"/>
      <c r="AC8" s="79"/>
    </row>
    <row r="9" spans="1:29">
      <c r="A9" s="79">
        <v>5</v>
      </c>
      <c r="B9" s="80" t="s">
        <v>378</v>
      </c>
      <c r="C9" s="80" t="s">
        <v>385</v>
      </c>
      <c r="D9" s="80" t="s">
        <v>396</v>
      </c>
      <c r="E9" s="79" t="s">
        <v>385</v>
      </c>
      <c r="F9" s="79"/>
      <c r="G9" s="79">
        <v>5</v>
      </c>
      <c r="H9" s="80" t="s">
        <v>353</v>
      </c>
      <c r="I9" s="80" t="s">
        <v>410</v>
      </c>
      <c r="J9" s="80" t="s">
        <v>399</v>
      </c>
      <c r="K9" s="79"/>
      <c r="L9" s="79"/>
      <c r="M9" s="79">
        <v>5</v>
      </c>
      <c r="N9" s="80" t="s">
        <v>394</v>
      </c>
      <c r="O9" s="80" t="s">
        <v>390</v>
      </c>
      <c r="P9" s="80" t="s">
        <v>348</v>
      </c>
      <c r="Q9" s="79"/>
      <c r="R9" s="79"/>
      <c r="S9" s="80"/>
      <c r="T9" s="80"/>
      <c r="U9" s="79"/>
      <c r="V9" s="79"/>
      <c r="X9" s="79"/>
      <c r="Y9" s="80"/>
      <c r="Z9" s="80"/>
      <c r="AA9" s="80"/>
      <c r="AB9" s="79"/>
      <c r="AC9" s="79"/>
    </row>
    <row r="10" spans="1:29">
      <c r="A10" s="81" t="s">
        <v>335</v>
      </c>
      <c r="B10" s="80" t="s">
        <v>409</v>
      </c>
      <c r="C10" s="80" t="s">
        <v>428</v>
      </c>
      <c r="D10" s="80" t="s">
        <v>343</v>
      </c>
      <c r="E10" s="79"/>
      <c r="F10" s="79"/>
      <c r="G10" s="81" t="s">
        <v>335</v>
      </c>
      <c r="H10" s="80" t="s">
        <v>423</v>
      </c>
      <c r="I10" s="80" t="s">
        <v>362</v>
      </c>
      <c r="J10" s="80" t="s">
        <v>383</v>
      </c>
      <c r="K10" s="79"/>
      <c r="L10" s="79"/>
      <c r="M10" s="81" t="s">
        <v>335</v>
      </c>
      <c r="N10" s="80" t="s">
        <v>381</v>
      </c>
      <c r="O10" s="80" t="s">
        <v>373</v>
      </c>
      <c r="P10" s="80" t="s">
        <v>365</v>
      </c>
      <c r="Q10" s="79"/>
      <c r="R10" s="79"/>
      <c r="S10" s="80"/>
      <c r="T10" s="80"/>
      <c r="U10" s="79"/>
      <c r="V10" s="79"/>
      <c r="X10" s="81"/>
      <c r="Y10" s="80"/>
      <c r="Z10" s="80"/>
      <c r="AA10" s="80"/>
      <c r="AB10" s="79"/>
      <c r="AC10" s="79"/>
    </row>
    <row r="11" spans="1:29">
      <c r="A11" s="79"/>
      <c r="B11" s="118"/>
      <c r="C11" s="118"/>
      <c r="D11" s="118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</row>
    <row r="12" spans="1:29">
      <c r="A12" s="79"/>
      <c r="B12" s="118" t="s">
        <v>450</v>
      </c>
      <c r="C12" s="118"/>
      <c r="D12" s="118"/>
      <c r="E12" s="79" t="s">
        <v>436</v>
      </c>
      <c r="F12" s="79" t="s">
        <v>437</v>
      </c>
      <c r="G12" s="79"/>
      <c r="H12" s="118" t="s">
        <v>451</v>
      </c>
      <c r="I12" s="118"/>
      <c r="J12" s="118"/>
      <c r="K12" s="79" t="s">
        <v>436</v>
      </c>
      <c r="L12" s="79" t="s">
        <v>437</v>
      </c>
      <c r="M12" s="79"/>
      <c r="N12" s="118" t="s">
        <v>492</v>
      </c>
      <c r="O12" s="118"/>
      <c r="P12" s="118"/>
      <c r="Q12" s="79" t="s">
        <v>436</v>
      </c>
      <c r="R12" s="79" t="s">
        <v>437</v>
      </c>
    </row>
    <row r="13" spans="1:29">
      <c r="A13" s="79">
        <v>1</v>
      </c>
      <c r="B13" s="80" t="s">
        <v>427</v>
      </c>
      <c r="C13" s="80" t="s">
        <v>446</v>
      </c>
      <c r="D13" s="80" t="s">
        <v>383</v>
      </c>
      <c r="E13" s="79"/>
      <c r="F13" s="79" t="s">
        <v>374</v>
      </c>
      <c r="G13" s="79">
        <v>1</v>
      </c>
      <c r="H13" s="80" t="s">
        <v>353</v>
      </c>
      <c r="I13" s="80" t="s">
        <v>362</v>
      </c>
      <c r="J13" s="80" t="s">
        <v>365</v>
      </c>
      <c r="K13" s="79" t="s">
        <v>494</v>
      </c>
      <c r="L13" s="80"/>
      <c r="M13" s="79">
        <v>1</v>
      </c>
      <c r="N13" s="80" t="s">
        <v>340</v>
      </c>
      <c r="O13" s="80" t="s">
        <v>390</v>
      </c>
      <c r="P13" s="80" t="s">
        <v>343</v>
      </c>
      <c r="Q13" s="79" t="s">
        <v>340</v>
      </c>
    </row>
    <row r="14" spans="1:29">
      <c r="A14" s="79">
        <v>2</v>
      </c>
      <c r="B14" s="80" t="s">
        <v>409</v>
      </c>
      <c r="C14" s="80" t="s">
        <v>485</v>
      </c>
      <c r="D14" s="80" t="s">
        <v>389</v>
      </c>
      <c r="E14" s="79" t="s">
        <v>389</v>
      </c>
      <c r="F14" s="79"/>
      <c r="G14" s="79">
        <v>2</v>
      </c>
      <c r="H14" s="80" t="s">
        <v>442</v>
      </c>
      <c r="I14" s="80" t="s">
        <v>410</v>
      </c>
      <c r="J14" s="80" t="s">
        <v>351</v>
      </c>
      <c r="K14" s="79" t="s">
        <v>351</v>
      </c>
      <c r="L14" s="80"/>
      <c r="M14" s="79">
        <v>2</v>
      </c>
      <c r="N14" s="80" t="s">
        <v>372</v>
      </c>
      <c r="O14" s="80" t="s">
        <v>448</v>
      </c>
      <c r="P14" s="80" t="s">
        <v>458</v>
      </c>
      <c r="Q14" s="79"/>
    </row>
    <row r="15" spans="1:29">
      <c r="A15" s="79">
        <v>3</v>
      </c>
      <c r="B15" s="80" t="s">
        <v>380</v>
      </c>
      <c r="C15" s="80" t="s">
        <v>441</v>
      </c>
      <c r="D15" s="80" t="s">
        <v>374</v>
      </c>
      <c r="E15" s="79"/>
      <c r="F15" s="79"/>
      <c r="G15" s="79">
        <v>3</v>
      </c>
      <c r="H15" s="80" t="s">
        <v>406</v>
      </c>
      <c r="I15" s="80" t="s">
        <v>359</v>
      </c>
      <c r="J15" s="80" t="s">
        <v>417</v>
      </c>
      <c r="K15" s="79" t="s">
        <v>417</v>
      </c>
      <c r="L15" s="80"/>
      <c r="M15" s="79">
        <v>3</v>
      </c>
      <c r="N15" s="80" t="s">
        <v>394</v>
      </c>
      <c r="O15" s="80" t="s">
        <v>346</v>
      </c>
      <c r="P15" s="80" t="s">
        <v>348</v>
      </c>
      <c r="Q15" s="79"/>
    </row>
    <row r="16" spans="1:29">
      <c r="A16" s="79">
        <v>4</v>
      </c>
      <c r="B16" s="80" t="s">
        <v>379</v>
      </c>
      <c r="C16" s="80" t="s">
        <v>373</v>
      </c>
      <c r="D16" s="80" t="s">
        <v>430</v>
      </c>
      <c r="E16" s="79"/>
      <c r="F16" s="79"/>
      <c r="G16" s="79">
        <v>4</v>
      </c>
      <c r="H16" s="80" t="s">
        <v>413</v>
      </c>
      <c r="I16" s="80" t="s">
        <v>356</v>
      </c>
      <c r="J16" s="80" t="s">
        <v>366</v>
      </c>
      <c r="K16" s="79"/>
      <c r="L16" s="80"/>
      <c r="M16" s="79">
        <v>4</v>
      </c>
      <c r="N16" s="80" t="s">
        <v>337</v>
      </c>
      <c r="O16" s="80" t="s">
        <v>411</v>
      </c>
      <c r="P16" s="80" t="s">
        <v>416</v>
      </c>
      <c r="Q16" s="79"/>
    </row>
    <row r="17" spans="1:17">
      <c r="A17" s="79">
        <v>5</v>
      </c>
      <c r="B17" s="80" t="s">
        <v>423</v>
      </c>
      <c r="C17" s="80" t="s">
        <v>363</v>
      </c>
      <c r="D17" s="80" t="s">
        <v>489</v>
      </c>
      <c r="E17" s="79" t="s">
        <v>363</v>
      </c>
      <c r="F17" s="79"/>
      <c r="G17" s="79">
        <v>5</v>
      </c>
      <c r="H17" s="80" t="s">
        <v>435</v>
      </c>
      <c r="I17" s="80" t="s">
        <v>414</v>
      </c>
      <c r="J17" s="80" t="s">
        <v>405</v>
      </c>
      <c r="K17" s="79" t="s">
        <v>435</v>
      </c>
      <c r="L17" s="80"/>
      <c r="M17" s="79">
        <v>5</v>
      </c>
      <c r="N17" s="80" t="s">
        <v>400</v>
      </c>
      <c r="O17" s="80" t="s">
        <v>454</v>
      </c>
      <c r="P17" s="80" t="s">
        <v>342</v>
      </c>
      <c r="Q17" s="79"/>
    </row>
    <row r="18" spans="1:17">
      <c r="A18" s="81" t="s">
        <v>335</v>
      </c>
      <c r="B18" s="80" t="s">
        <v>369</v>
      </c>
      <c r="C18" s="80" t="s">
        <v>370</v>
      </c>
      <c r="D18" s="80" t="s">
        <v>376</v>
      </c>
      <c r="E18" s="79"/>
      <c r="F18" s="81"/>
      <c r="G18" s="81" t="s">
        <v>335</v>
      </c>
      <c r="H18" s="80" t="s">
        <v>398</v>
      </c>
      <c r="I18" s="80" t="s">
        <v>387</v>
      </c>
      <c r="J18" s="80" t="s">
        <v>443</v>
      </c>
      <c r="K18" s="79"/>
      <c r="L18" s="80"/>
      <c r="M18" s="81" t="s">
        <v>335</v>
      </c>
      <c r="N18" s="80" t="s">
        <v>368</v>
      </c>
      <c r="O18" s="80" t="s">
        <v>375</v>
      </c>
      <c r="P18" s="80" t="s">
        <v>261</v>
      </c>
      <c r="Q18" s="79"/>
    </row>
    <row r="19" spans="1:17">
      <c r="A19" s="79"/>
      <c r="B19" s="118"/>
      <c r="C19" s="118"/>
      <c r="D19" s="11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</row>
    <row r="20" spans="1:17">
      <c r="A20" s="79"/>
      <c r="B20" s="118" t="s">
        <v>493</v>
      </c>
      <c r="C20" s="118"/>
      <c r="D20" s="118"/>
      <c r="E20" s="79" t="s">
        <v>436</v>
      </c>
      <c r="F20" s="79" t="s">
        <v>437</v>
      </c>
      <c r="G20" s="79"/>
      <c r="H20" s="118" t="s">
        <v>453</v>
      </c>
      <c r="I20" s="118"/>
      <c r="J20" s="118"/>
      <c r="K20" s="79" t="s">
        <v>436</v>
      </c>
      <c r="L20" s="79" t="s">
        <v>437</v>
      </c>
      <c r="M20" s="79"/>
      <c r="N20" s="79"/>
      <c r="O20" s="79"/>
      <c r="P20" s="79"/>
    </row>
    <row r="21" spans="1:17">
      <c r="A21" s="79">
        <v>1</v>
      </c>
      <c r="B21" s="80" t="s">
        <v>380</v>
      </c>
      <c r="C21" s="80" t="s">
        <v>266</v>
      </c>
      <c r="D21" s="80" t="s">
        <v>441</v>
      </c>
      <c r="E21" s="79"/>
      <c r="F21" s="79"/>
      <c r="G21" s="79">
        <v>1</v>
      </c>
      <c r="H21" s="80" t="s">
        <v>336</v>
      </c>
      <c r="I21" s="80" t="s">
        <v>269</v>
      </c>
      <c r="J21" s="80" t="s">
        <v>270</v>
      </c>
      <c r="K21" s="79"/>
      <c r="L21" s="80"/>
      <c r="M21" s="80"/>
      <c r="N21" s="80"/>
      <c r="O21" s="79"/>
      <c r="P21" s="79"/>
    </row>
    <row r="22" spans="1:17">
      <c r="A22" s="79">
        <v>2</v>
      </c>
      <c r="B22" s="80" t="s">
        <v>378</v>
      </c>
      <c r="C22" s="80" t="s">
        <v>402</v>
      </c>
      <c r="D22" s="80" t="s">
        <v>389</v>
      </c>
      <c r="E22" s="79" t="s">
        <v>389</v>
      </c>
      <c r="F22" s="79"/>
      <c r="G22" s="79">
        <v>2</v>
      </c>
      <c r="H22" s="80" t="s">
        <v>400</v>
      </c>
      <c r="I22" s="80" t="s">
        <v>358</v>
      </c>
      <c r="J22" s="80" t="s">
        <v>366</v>
      </c>
      <c r="K22" s="79"/>
      <c r="L22" s="80"/>
      <c r="M22" s="80"/>
      <c r="N22" s="80"/>
      <c r="O22" s="79"/>
      <c r="P22" s="79"/>
    </row>
    <row r="23" spans="1:17">
      <c r="A23" s="79">
        <v>3</v>
      </c>
      <c r="B23" s="80" t="s">
        <v>381</v>
      </c>
      <c r="C23" s="80" t="s">
        <v>382</v>
      </c>
      <c r="D23" s="80" t="s">
        <v>388</v>
      </c>
      <c r="E23" s="79"/>
      <c r="F23" s="79" t="s">
        <v>485</v>
      </c>
      <c r="G23" s="79">
        <v>3</v>
      </c>
      <c r="H23" s="80" t="s">
        <v>401</v>
      </c>
      <c r="I23" s="80" t="s">
        <v>356</v>
      </c>
      <c r="J23" s="80" t="s">
        <v>357</v>
      </c>
      <c r="K23" s="79"/>
      <c r="L23" s="80" t="s">
        <v>349</v>
      </c>
      <c r="M23" s="80"/>
      <c r="N23" s="80"/>
      <c r="O23" s="79"/>
      <c r="P23" s="79"/>
    </row>
    <row r="24" spans="1:17">
      <c r="A24" s="79">
        <v>4</v>
      </c>
      <c r="B24" s="80" t="s">
        <v>423</v>
      </c>
      <c r="C24" s="80" t="s">
        <v>384</v>
      </c>
      <c r="D24" s="80" t="s">
        <v>373</v>
      </c>
      <c r="E24" s="79"/>
      <c r="F24" s="79"/>
      <c r="G24" s="79">
        <v>4</v>
      </c>
      <c r="H24" s="80" t="s">
        <v>413</v>
      </c>
      <c r="I24" s="80" t="s">
        <v>259</v>
      </c>
      <c r="J24" s="80" t="s">
        <v>404</v>
      </c>
      <c r="K24" s="79" t="s">
        <v>404</v>
      </c>
      <c r="L24" s="80"/>
      <c r="M24" s="80" t="s">
        <v>398</v>
      </c>
      <c r="N24" s="80"/>
      <c r="O24" s="79"/>
      <c r="P24" s="79"/>
    </row>
    <row r="25" spans="1:17">
      <c r="A25" s="79">
        <v>5</v>
      </c>
      <c r="B25" s="80" t="s">
        <v>502</v>
      </c>
      <c r="C25" s="80" t="s">
        <v>392</v>
      </c>
      <c r="D25" s="80" t="s">
        <v>403</v>
      </c>
      <c r="E25" s="79" t="s">
        <v>403</v>
      </c>
      <c r="F25" s="79"/>
      <c r="G25" s="79">
        <v>5</v>
      </c>
      <c r="H25" s="80" t="s">
        <v>337</v>
      </c>
      <c r="I25" s="80" t="s">
        <v>261</v>
      </c>
      <c r="J25" s="80" t="s">
        <v>422</v>
      </c>
      <c r="K25" s="79"/>
      <c r="L25" s="80"/>
      <c r="M25" s="80"/>
      <c r="N25" s="80"/>
      <c r="O25" s="79"/>
      <c r="P25" s="79"/>
    </row>
    <row r="26" spans="1:17">
      <c r="A26" s="81" t="s">
        <v>335</v>
      </c>
      <c r="B26" s="80" t="s">
        <v>367</v>
      </c>
      <c r="C26" s="80" t="s">
        <v>371</v>
      </c>
      <c r="D26" s="80" t="s">
        <v>376</v>
      </c>
      <c r="E26" s="79"/>
      <c r="F26" s="81"/>
      <c r="G26" s="81" t="s">
        <v>335</v>
      </c>
      <c r="H26" s="80" t="s">
        <v>369</v>
      </c>
      <c r="I26" s="80" t="s">
        <v>370</v>
      </c>
      <c r="J26" s="80" t="s">
        <v>498</v>
      </c>
      <c r="K26" s="79"/>
      <c r="L26" s="80"/>
      <c r="M26" s="80"/>
      <c r="N26" s="80"/>
      <c r="O26" s="79"/>
      <c r="P26" s="79"/>
    </row>
  </sheetData>
  <mergeCells count="11">
    <mergeCell ref="B3:D3"/>
    <mergeCell ref="H3:J3"/>
    <mergeCell ref="Y3:AA3"/>
    <mergeCell ref="N3:P3"/>
    <mergeCell ref="H12:J12"/>
    <mergeCell ref="N12:P12"/>
    <mergeCell ref="H20:J20"/>
    <mergeCell ref="B11:D11"/>
    <mergeCell ref="B12:D12"/>
    <mergeCell ref="B19:D19"/>
    <mergeCell ref="B20:D20"/>
  </mergeCells>
  <phoneticPr fontId="9"/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088C-056E-4E67-A0B6-9713E8E3EE00}">
  <dimension ref="C4:Z28"/>
  <sheetViews>
    <sheetView topLeftCell="M4" workbookViewId="0">
      <selection activeCell="C21" sqref="C21:Z27"/>
    </sheetView>
  </sheetViews>
  <sheetFormatPr defaultRowHeight="12.75"/>
  <cols>
    <col min="3" max="3" width="4.6640625" bestFit="1" customWidth="1"/>
    <col min="9" max="9" width="4.6640625" bestFit="1" customWidth="1"/>
    <col min="15" max="15" width="4.6640625" bestFit="1" customWidth="1"/>
    <col min="21" max="21" width="4.6640625" bestFit="1" customWidth="1"/>
  </cols>
  <sheetData>
    <row r="4" spans="3:26">
      <c r="C4" s="79"/>
      <c r="D4" s="118"/>
      <c r="E4" s="118"/>
      <c r="F4" s="118"/>
      <c r="G4" s="79"/>
      <c r="H4" s="79"/>
      <c r="I4" s="79"/>
      <c r="J4" s="118"/>
      <c r="K4" s="118"/>
      <c r="L4" s="118"/>
      <c r="M4" s="79"/>
      <c r="N4" s="79"/>
      <c r="O4" s="79"/>
      <c r="P4" s="118"/>
      <c r="Q4" s="118"/>
      <c r="R4" s="118"/>
      <c r="S4" s="79"/>
      <c r="T4" s="79"/>
      <c r="U4" s="79"/>
    </row>
    <row r="5" spans="3:26">
      <c r="C5" s="79"/>
      <c r="D5" s="118" t="s">
        <v>538</v>
      </c>
      <c r="E5" s="118"/>
      <c r="F5" s="118"/>
      <c r="G5" s="79" t="s">
        <v>436</v>
      </c>
      <c r="H5" s="79" t="s">
        <v>437</v>
      </c>
      <c r="I5" s="79"/>
      <c r="J5" s="118" t="s">
        <v>434</v>
      </c>
      <c r="K5" s="118"/>
      <c r="L5" s="118"/>
      <c r="M5" s="79" t="s">
        <v>436</v>
      </c>
      <c r="N5" s="79" t="s">
        <v>437</v>
      </c>
      <c r="O5" s="79"/>
      <c r="P5" s="118" t="s">
        <v>433</v>
      </c>
      <c r="Q5" s="118"/>
      <c r="R5" s="118"/>
      <c r="S5" s="79" t="s">
        <v>436</v>
      </c>
      <c r="T5" s="79" t="s">
        <v>437</v>
      </c>
      <c r="U5" s="79"/>
      <c r="V5" s="80" t="s">
        <v>334</v>
      </c>
      <c r="W5" s="80" t="s">
        <v>267</v>
      </c>
      <c r="X5" s="80" t="s">
        <v>274</v>
      </c>
      <c r="Y5" s="79"/>
      <c r="Z5" s="79"/>
    </row>
    <row r="6" spans="3:26">
      <c r="C6" s="79">
        <v>1</v>
      </c>
      <c r="D6" s="80" t="s">
        <v>339</v>
      </c>
      <c r="E6" s="80" t="s">
        <v>429</v>
      </c>
      <c r="F6" s="80" t="s">
        <v>348</v>
      </c>
      <c r="G6" s="79"/>
      <c r="H6" s="79"/>
      <c r="I6" s="79">
        <v>1</v>
      </c>
      <c r="J6" s="80" t="s">
        <v>398</v>
      </c>
      <c r="K6" s="80" t="s">
        <v>412</v>
      </c>
      <c r="L6" s="80" t="s">
        <v>365</v>
      </c>
      <c r="M6" s="79"/>
      <c r="N6" s="79"/>
      <c r="O6" s="79">
        <v>1</v>
      </c>
      <c r="P6" s="80" t="s">
        <v>377</v>
      </c>
      <c r="Q6" s="80" t="s">
        <v>382</v>
      </c>
      <c r="R6" s="80" t="s">
        <v>363</v>
      </c>
      <c r="S6" s="79" t="s">
        <v>363</v>
      </c>
      <c r="T6" s="79"/>
      <c r="U6" s="79">
        <v>1</v>
      </c>
      <c r="V6" s="80" t="s">
        <v>336</v>
      </c>
      <c r="W6" s="80" t="s">
        <v>390</v>
      </c>
      <c r="X6" s="80" t="s">
        <v>403</v>
      </c>
      <c r="Y6" s="79" t="s">
        <v>436</v>
      </c>
      <c r="Z6" s="79" t="s">
        <v>437</v>
      </c>
    </row>
    <row r="7" spans="3:26">
      <c r="C7" s="79">
        <v>2</v>
      </c>
      <c r="D7" s="80" t="s">
        <v>413</v>
      </c>
      <c r="E7" s="80" t="s">
        <v>411</v>
      </c>
      <c r="F7" s="80" t="s">
        <v>394</v>
      </c>
      <c r="G7" s="79"/>
      <c r="H7" s="79"/>
      <c r="I7" s="79">
        <v>2</v>
      </c>
      <c r="J7" s="80" t="s">
        <v>353</v>
      </c>
      <c r="K7" s="80" t="s">
        <v>358</v>
      </c>
      <c r="L7" s="80" t="s">
        <v>270</v>
      </c>
      <c r="M7" s="79"/>
      <c r="N7" s="79"/>
      <c r="O7" s="79">
        <v>2</v>
      </c>
      <c r="P7" s="80" t="s">
        <v>381</v>
      </c>
      <c r="Q7" s="80" t="s">
        <v>384</v>
      </c>
      <c r="R7" s="80" t="s">
        <v>416</v>
      </c>
      <c r="S7" s="79"/>
      <c r="T7" s="79"/>
      <c r="U7" s="79">
        <v>2</v>
      </c>
      <c r="V7" s="80" t="s">
        <v>337</v>
      </c>
      <c r="W7" s="80" t="s">
        <v>363</v>
      </c>
      <c r="X7" s="80" t="s">
        <v>344</v>
      </c>
      <c r="Y7" s="79"/>
      <c r="Z7" s="79"/>
    </row>
    <row r="8" spans="3:26">
      <c r="C8" s="79">
        <v>3</v>
      </c>
      <c r="D8" s="80" t="s">
        <v>367</v>
      </c>
      <c r="E8" s="80" t="s">
        <v>373</v>
      </c>
      <c r="F8" s="80" t="s">
        <v>415</v>
      </c>
      <c r="G8" s="79" t="s">
        <v>367</v>
      </c>
      <c r="H8" s="79"/>
      <c r="I8" s="79">
        <v>3</v>
      </c>
      <c r="J8" s="80" t="s">
        <v>401</v>
      </c>
      <c r="K8" s="80" t="s">
        <v>359</v>
      </c>
      <c r="L8" s="80" t="s">
        <v>417</v>
      </c>
      <c r="M8" s="79" t="s">
        <v>351</v>
      </c>
      <c r="N8" s="79" t="s">
        <v>503</v>
      </c>
      <c r="O8" s="79">
        <v>3</v>
      </c>
      <c r="P8" s="80" t="s">
        <v>379</v>
      </c>
      <c r="Q8" s="80" t="s">
        <v>441</v>
      </c>
      <c r="R8" s="80" t="s">
        <v>388</v>
      </c>
      <c r="S8" s="79"/>
      <c r="T8" s="79"/>
      <c r="U8" s="79">
        <v>3</v>
      </c>
      <c r="V8" s="80" t="s">
        <v>367</v>
      </c>
      <c r="W8" s="80" t="s">
        <v>375</v>
      </c>
      <c r="X8" s="80" t="s">
        <v>348</v>
      </c>
      <c r="Y8" s="79"/>
      <c r="Z8" s="79"/>
    </row>
    <row r="9" spans="3:26">
      <c r="C9" s="79">
        <v>4</v>
      </c>
      <c r="D9" s="80" t="s">
        <v>372</v>
      </c>
      <c r="E9" s="80" t="s">
        <v>331</v>
      </c>
      <c r="F9" s="80" t="s">
        <v>340</v>
      </c>
      <c r="G9" s="79" t="s">
        <v>340</v>
      </c>
      <c r="H9" s="79" t="s">
        <v>445</v>
      </c>
      <c r="I9" s="79">
        <v>4</v>
      </c>
      <c r="J9" s="80" t="s">
        <v>351</v>
      </c>
      <c r="K9" s="80" t="s">
        <v>362</v>
      </c>
      <c r="L9" s="80" t="s">
        <v>366</v>
      </c>
      <c r="M9" s="79" t="s">
        <v>494</v>
      </c>
      <c r="N9" s="79"/>
      <c r="O9" s="79">
        <v>4</v>
      </c>
      <c r="P9" s="80" t="s">
        <v>380</v>
      </c>
      <c r="Q9" s="80" t="s">
        <v>385</v>
      </c>
      <c r="R9" s="80" t="s">
        <v>396</v>
      </c>
      <c r="S9" s="79" t="s">
        <v>385</v>
      </c>
      <c r="T9" s="79"/>
      <c r="U9" s="79">
        <v>4</v>
      </c>
      <c r="V9" s="80" t="s">
        <v>394</v>
      </c>
      <c r="W9" s="80" t="s">
        <v>441</v>
      </c>
      <c r="X9" s="80" t="s">
        <v>373</v>
      </c>
      <c r="Y9" s="79"/>
      <c r="Z9" s="79"/>
    </row>
    <row r="10" spans="3:26">
      <c r="C10" s="79">
        <v>5</v>
      </c>
      <c r="D10" s="80" t="s">
        <v>400</v>
      </c>
      <c r="E10" s="80" t="s">
        <v>454</v>
      </c>
      <c r="F10" s="80" t="s">
        <v>342</v>
      </c>
      <c r="G10" s="79"/>
      <c r="H10" s="79"/>
      <c r="I10" s="79">
        <v>5</v>
      </c>
      <c r="J10" s="80" t="s">
        <v>435</v>
      </c>
      <c r="K10" s="80" t="s">
        <v>402</v>
      </c>
      <c r="L10" s="80" t="s">
        <v>444</v>
      </c>
      <c r="M10" s="79" t="s">
        <v>435</v>
      </c>
      <c r="N10" s="79"/>
      <c r="O10" s="79">
        <v>5</v>
      </c>
      <c r="P10" s="80" t="s">
        <v>378</v>
      </c>
      <c r="Q10" s="80" t="s">
        <v>266</v>
      </c>
      <c r="R10" s="80" t="s">
        <v>389</v>
      </c>
      <c r="S10" s="79" t="s">
        <v>389</v>
      </c>
      <c r="T10" s="79"/>
      <c r="U10" s="79">
        <v>5</v>
      </c>
      <c r="V10" s="80" t="s">
        <v>372</v>
      </c>
      <c r="W10" s="80" t="s">
        <v>371</v>
      </c>
      <c r="X10" s="80" t="s">
        <v>342</v>
      </c>
      <c r="Y10" s="79"/>
      <c r="Z10" s="79"/>
    </row>
    <row r="11" spans="3:26">
      <c r="C11" s="81" t="s">
        <v>335</v>
      </c>
      <c r="D11" s="80" t="s">
        <v>406</v>
      </c>
      <c r="E11" s="80" t="s">
        <v>370</v>
      </c>
      <c r="F11" s="80" t="s">
        <v>376</v>
      </c>
      <c r="G11" s="79"/>
      <c r="H11" s="79"/>
      <c r="I11" s="81" t="s">
        <v>335</v>
      </c>
      <c r="J11" s="80" t="s">
        <v>419</v>
      </c>
      <c r="K11" s="80" t="s">
        <v>414</v>
      </c>
      <c r="L11" s="80" t="s">
        <v>357</v>
      </c>
      <c r="M11" s="79"/>
      <c r="N11" s="79"/>
      <c r="O11" s="81" t="s">
        <v>335</v>
      </c>
      <c r="P11" s="80" t="s">
        <v>369</v>
      </c>
      <c r="Q11" s="80" t="s">
        <v>387</v>
      </c>
      <c r="R11" s="80" t="s">
        <v>261</v>
      </c>
      <c r="S11" s="79"/>
      <c r="T11" s="79"/>
      <c r="U11" s="81" t="s">
        <v>335</v>
      </c>
      <c r="V11" s="80" t="s">
        <v>400</v>
      </c>
      <c r="W11" s="80" t="s">
        <v>414</v>
      </c>
      <c r="X11" s="80" t="s">
        <v>396</v>
      </c>
      <c r="Y11" s="79"/>
      <c r="Z11" s="79"/>
    </row>
    <row r="12" spans="3:26">
      <c r="C12" s="79"/>
      <c r="D12" s="118"/>
      <c r="E12" s="118"/>
      <c r="F12" s="118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</row>
    <row r="13" spans="3:26">
      <c r="C13" s="79"/>
      <c r="D13" s="118" t="s">
        <v>431</v>
      </c>
      <c r="E13" s="118"/>
      <c r="F13" s="118"/>
      <c r="G13" s="79"/>
      <c r="H13" s="79"/>
      <c r="I13" s="79"/>
      <c r="J13" s="118" t="s">
        <v>432</v>
      </c>
      <c r="K13" s="118"/>
      <c r="L13" s="118"/>
      <c r="M13" s="79"/>
      <c r="N13" s="79"/>
      <c r="O13" s="79"/>
      <c r="P13" s="118"/>
      <c r="Q13" s="118"/>
      <c r="R13" s="118"/>
      <c r="S13" s="79"/>
      <c r="T13" s="79"/>
      <c r="U13" s="79"/>
      <c r="V13" s="80" t="s">
        <v>334</v>
      </c>
      <c r="W13" s="80" t="s">
        <v>267</v>
      </c>
      <c r="X13" s="80" t="s">
        <v>274</v>
      </c>
      <c r="Y13" s="79" t="s">
        <v>436</v>
      </c>
      <c r="Z13" s="79" t="s">
        <v>437</v>
      </c>
    </row>
    <row r="14" spans="3:26">
      <c r="C14" s="79"/>
      <c r="D14" s="80" t="s">
        <v>334</v>
      </c>
      <c r="E14" s="80" t="s">
        <v>267</v>
      </c>
      <c r="F14" s="80" t="s">
        <v>274</v>
      </c>
      <c r="G14" s="79" t="s">
        <v>436</v>
      </c>
      <c r="H14" s="79" t="s">
        <v>437</v>
      </c>
      <c r="I14" s="79"/>
      <c r="J14" s="80" t="s">
        <v>334</v>
      </c>
      <c r="K14" s="80" t="s">
        <v>267</v>
      </c>
      <c r="L14" s="80" t="s">
        <v>274</v>
      </c>
      <c r="M14" s="79" t="s">
        <v>436</v>
      </c>
      <c r="N14" s="79" t="s">
        <v>437</v>
      </c>
      <c r="O14" s="79"/>
      <c r="P14" s="80"/>
      <c r="Q14" s="80"/>
      <c r="R14" s="80"/>
      <c r="S14" s="79"/>
      <c r="T14" s="79"/>
      <c r="U14" s="79">
        <v>1</v>
      </c>
      <c r="V14" s="80" t="s">
        <v>336</v>
      </c>
      <c r="W14" s="80" t="s">
        <v>390</v>
      </c>
      <c r="X14" s="80" t="s">
        <v>403</v>
      </c>
      <c r="Y14" s="79"/>
      <c r="Z14" s="79"/>
    </row>
    <row r="15" spans="3:26">
      <c r="C15" s="79">
        <v>1</v>
      </c>
      <c r="D15" s="80" t="s">
        <v>336</v>
      </c>
      <c r="E15" s="80" t="s">
        <v>346</v>
      </c>
      <c r="F15" s="80" t="s">
        <v>343</v>
      </c>
      <c r="G15" s="79"/>
      <c r="H15" s="79"/>
      <c r="I15" s="79">
        <v>1</v>
      </c>
      <c r="J15" s="80" t="s">
        <v>427</v>
      </c>
      <c r="K15" s="80" t="s">
        <v>266</v>
      </c>
      <c r="L15" s="80" t="s">
        <v>417</v>
      </c>
      <c r="M15" s="79" t="s">
        <v>417</v>
      </c>
      <c r="N15" s="79" t="s">
        <v>503</v>
      </c>
      <c r="O15" s="79"/>
      <c r="P15" s="80"/>
      <c r="Q15" s="80"/>
      <c r="R15" s="80"/>
      <c r="S15" s="79"/>
      <c r="T15" s="79"/>
      <c r="U15" s="79">
        <v>2</v>
      </c>
      <c r="V15" s="80" t="s">
        <v>337</v>
      </c>
      <c r="W15" s="80" t="s">
        <v>363</v>
      </c>
      <c r="X15" s="80" t="s">
        <v>344</v>
      </c>
      <c r="Y15" s="79"/>
      <c r="Z15" s="79"/>
    </row>
    <row r="16" spans="3:26">
      <c r="C16" s="79">
        <v>2</v>
      </c>
      <c r="D16" s="80" t="s">
        <v>337</v>
      </c>
      <c r="E16" s="80" t="s">
        <v>429</v>
      </c>
      <c r="F16" s="80" t="s">
        <v>458</v>
      </c>
      <c r="G16" s="79"/>
      <c r="H16" s="79"/>
      <c r="I16" s="79">
        <v>2</v>
      </c>
      <c r="J16" s="80" t="s">
        <v>378</v>
      </c>
      <c r="K16" s="80" t="s">
        <v>384</v>
      </c>
      <c r="L16" s="80" t="s">
        <v>395</v>
      </c>
      <c r="M16" s="79"/>
      <c r="N16" s="79"/>
      <c r="O16" s="79"/>
      <c r="P16" s="80"/>
      <c r="Q16" s="80"/>
      <c r="R16" s="80"/>
      <c r="S16" s="79"/>
      <c r="T16" s="79"/>
      <c r="U16" s="79">
        <v>3</v>
      </c>
      <c r="V16" s="80" t="s">
        <v>367</v>
      </c>
      <c r="W16" s="80" t="s">
        <v>375</v>
      </c>
      <c r="X16" s="80" t="s">
        <v>348</v>
      </c>
      <c r="Y16" s="79"/>
      <c r="Z16" s="79"/>
    </row>
    <row r="17" spans="3:26">
      <c r="C17" s="79">
        <v>3</v>
      </c>
      <c r="D17" s="80" t="s">
        <v>339</v>
      </c>
      <c r="E17" s="80" t="s">
        <v>424</v>
      </c>
      <c r="F17" s="80" t="s">
        <v>374</v>
      </c>
      <c r="G17" s="79"/>
      <c r="H17" s="79"/>
      <c r="I17" s="79">
        <v>3</v>
      </c>
      <c r="J17" s="80" t="s">
        <v>379</v>
      </c>
      <c r="K17" s="80" t="s">
        <v>446</v>
      </c>
      <c r="L17" s="80" t="s">
        <v>389</v>
      </c>
      <c r="M17" s="79" t="s">
        <v>389</v>
      </c>
      <c r="N17" s="79"/>
      <c r="O17" s="79"/>
      <c r="P17" s="80"/>
      <c r="Q17" s="80"/>
      <c r="R17" s="80"/>
      <c r="S17" s="79"/>
      <c r="T17" s="79"/>
      <c r="U17" s="79">
        <v>4</v>
      </c>
      <c r="V17" s="80" t="s">
        <v>394</v>
      </c>
      <c r="W17" s="80" t="s">
        <v>441</v>
      </c>
      <c r="X17" s="80" t="s">
        <v>373</v>
      </c>
      <c r="Y17" s="79"/>
      <c r="Z17" s="79"/>
    </row>
    <row r="18" spans="3:26">
      <c r="C18" s="79">
        <v>4</v>
      </c>
      <c r="D18" s="80" t="s">
        <v>394</v>
      </c>
      <c r="E18" s="80" t="s">
        <v>390</v>
      </c>
      <c r="F18" s="80" t="s">
        <v>349</v>
      </c>
      <c r="G18" s="79"/>
      <c r="H18" s="79"/>
      <c r="I18" s="79">
        <v>4</v>
      </c>
      <c r="J18" s="80" t="s">
        <v>423</v>
      </c>
      <c r="K18" s="80" t="s">
        <v>385</v>
      </c>
      <c r="L18" s="80" t="s">
        <v>383</v>
      </c>
      <c r="M18" s="79" t="s">
        <v>385</v>
      </c>
      <c r="N18" s="79"/>
      <c r="O18" s="79"/>
      <c r="P18" s="80"/>
      <c r="Q18" s="80"/>
      <c r="R18" s="80"/>
      <c r="S18" s="79"/>
      <c r="T18" s="79"/>
      <c r="U18" s="79">
        <v>5</v>
      </c>
      <c r="V18" s="80" t="s">
        <v>372</v>
      </c>
      <c r="W18" s="80" t="s">
        <v>371</v>
      </c>
      <c r="X18" s="80" t="s">
        <v>342</v>
      </c>
      <c r="Y18" s="79"/>
      <c r="Z18" s="79"/>
    </row>
    <row r="19" spans="3:26">
      <c r="C19" s="79">
        <v>5</v>
      </c>
      <c r="D19" s="80" t="s">
        <v>413</v>
      </c>
      <c r="E19" s="80" t="s">
        <v>269</v>
      </c>
      <c r="F19" s="80" t="s">
        <v>342</v>
      </c>
      <c r="G19" s="79"/>
      <c r="H19" s="79"/>
      <c r="I19" s="79">
        <v>5</v>
      </c>
      <c r="J19" s="80" t="s">
        <v>380</v>
      </c>
      <c r="K19" s="80" t="s">
        <v>386</v>
      </c>
      <c r="L19" s="80" t="s">
        <v>416</v>
      </c>
      <c r="M19" s="79"/>
      <c r="N19" s="79"/>
      <c r="O19" s="81"/>
      <c r="P19" s="80"/>
      <c r="Q19" s="80"/>
      <c r="R19" s="80"/>
      <c r="S19" s="79"/>
      <c r="T19" s="79"/>
      <c r="U19" s="81" t="s">
        <v>335</v>
      </c>
      <c r="V19" s="80" t="s">
        <v>400</v>
      </c>
      <c r="W19" s="80" t="s">
        <v>414</v>
      </c>
      <c r="X19" s="80" t="s">
        <v>396</v>
      </c>
      <c r="Y19" s="79"/>
      <c r="Z19" s="79"/>
    </row>
    <row r="20" spans="3:26">
      <c r="C20" s="81" t="s">
        <v>335</v>
      </c>
      <c r="D20" s="80" t="s">
        <v>400</v>
      </c>
      <c r="E20" s="80" t="s">
        <v>373</v>
      </c>
      <c r="F20" s="80" t="s">
        <v>381</v>
      </c>
      <c r="G20" s="79"/>
      <c r="H20" s="79"/>
      <c r="I20" s="81" t="s">
        <v>335</v>
      </c>
      <c r="J20" s="80" t="s">
        <v>368</v>
      </c>
      <c r="K20" s="80" t="s">
        <v>443</v>
      </c>
      <c r="L20" s="80" t="s">
        <v>398</v>
      </c>
      <c r="M20" s="79"/>
      <c r="N20" s="79"/>
      <c r="O20" s="79"/>
      <c r="P20" s="79"/>
      <c r="Q20" s="79"/>
      <c r="R20" s="79"/>
      <c r="S20" s="79"/>
      <c r="T20" s="79"/>
      <c r="U20" s="79"/>
    </row>
    <row r="21" spans="3:26">
      <c r="C21" s="79"/>
      <c r="D21" s="118" t="s">
        <v>461</v>
      </c>
      <c r="E21" s="118"/>
      <c r="F21" s="118"/>
      <c r="G21" s="79" t="s">
        <v>436</v>
      </c>
      <c r="H21" s="79" t="s">
        <v>437</v>
      </c>
      <c r="I21" s="79"/>
      <c r="J21" s="118" t="s">
        <v>460</v>
      </c>
      <c r="K21" s="118"/>
      <c r="L21" s="118"/>
      <c r="M21" s="79" t="s">
        <v>436</v>
      </c>
      <c r="N21" s="79" t="s">
        <v>437</v>
      </c>
      <c r="O21" s="79"/>
      <c r="P21" s="118" t="s">
        <v>461</v>
      </c>
      <c r="Q21" s="118"/>
      <c r="R21" s="118"/>
      <c r="S21" s="79" t="s">
        <v>436</v>
      </c>
      <c r="T21" s="79" t="s">
        <v>437</v>
      </c>
      <c r="U21" s="79"/>
      <c r="V21" s="118" t="s">
        <v>460</v>
      </c>
      <c r="W21" s="118"/>
      <c r="X21" s="118"/>
      <c r="Y21" s="79" t="s">
        <v>436</v>
      </c>
      <c r="Z21" s="79" t="s">
        <v>437</v>
      </c>
    </row>
    <row r="22" spans="3:26">
      <c r="C22" s="79">
        <v>1</v>
      </c>
      <c r="D22" s="80" t="s">
        <v>419</v>
      </c>
      <c r="E22" s="80" t="s">
        <v>412</v>
      </c>
      <c r="F22" s="80" t="s">
        <v>405</v>
      </c>
      <c r="G22" s="79"/>
      <c r="H22" s="79"/>
      <c r="I22" s="79">
        <v>1</v>
      </c>
      <c r="J22" s="80" t="s">
        <v>367</v>
      </c>
      <c r="K22" s="80" t="s">
        <v>429</v>
      </c>
      <c r="L22" s="80" t="s">
        <v>372</v>
      </c>
      <c r="M22" s="79" t="s">
        <v>367</v>
      </c>
      <c r="N22" s="79"/>
      <c r="O22" s="79">
        <v>1</v>
      </c>
      <c r="P22" s="80" t="s">
        <v>427</v>
      </c>
      <c r="Q22" s="80" t="s">
        <v>402</v>
      </c>
      <c r="R22" s="80" t="s">
        <v>404</v>
      </c>
      <c r="S22" s="79" t="s">
        <v>404</v>
      </c>
      <c r="T22" s="79" t="s">
        <v>475</v>
      </c>
      <c r="U22" s="79">
        <v>1</v>
      </c>
      <c r="V22" s="80" t="s">
        <v>399</v>
      </c>
      <c r="W22" s="80" t="s">
        <v>402</v>
      </c>
      <c r="X22" s="80" t="s">
        <v>422</v>
      </c>
    </row>
    <row r="23" spans="3:26">
      <c r="C23" s="79">
        <v>2</v>
      </c>
      <c r="D23" s="80" t="s">
        <v>351</v>
      </c>
      <c r="E23" s="80" t="s">
        <v>410</v>
      </c>
      <c r="F23" s="80" t="s">
        <v>357</v>
      </c>
      <c r="G23" s="79"/>
      <c r="H23" s="79"/>
      <c r="I23" s="79">
        <v>2</v>
      </c>
      <c r="J23" s="80" t="s">
        <v>394</v>
      </c>
      <c r="K23" s="80" t="s">
        <v>448</v>
      </c>
      <c r="L23" s="80" t="s">
        <v>348</v>
      </c>
      <c r="M23" s="79"/>
      <c r="N23" s="79"/>
      <c r="O23" s="79">
        <v>2</v>
      </c>
      <c r="P23" s="80" t="s">
        <v>413</v>
      </c>
      <c r="Q23" s="80" t="s">
        <v>363</v>
      </c>
      <c r="R23" s="80" t="s">
        <v>503</v>
      </c>
      <c r="S23" s="79" t="s">
        <v>363</v>
      </c>
      <c r="T23" s="79"/>
      <c r="U23" s="79">
        <v>2</v>
      </c>
      <c r="V23" s="80" t="s">
        <v>394</v>
      </c>
      <c r="W23" s="80" t="s">
        <v>448</v>
      </c>
      <c r="X23" s="80" t="s">
        <v>348</v>
      </c>
    </row>
    <row r="24" spans="3:26">
      <c r="C24" s="79">
        <v>3</v>
      </c>
      <c r="D24" s="80" t="s">
        <v>442</v>
      </c>
      <c r="E24" s="80" t="s">
        <v>261</v>
      </c>
      <c r="F24" s="80" t="s">
        <v>366</v>
      </c>
      <c r="G24" s="79"/>
      <c r="H24" s="79"/>
      <c r="I24" s="79">
        <v>3</v>
      </c>
      <c r="J24" s="80" t="s">
        <v>337</v>
      </c>
      <c r="K24" s="80" t="s">
        <v>346</v>
      </c>
      <c r="L24" s="80" t="s">
        <v>340</v>
      </c>
      <c r="M24" s="79" t="s">
        <v>340</v>
      </c>
      <c r="N24" s="79"/>
      <c r="O24" s="79">
        <v>3</v>
      </c>
      <c r="P24" s="80" t="s">
        <v>409</v>
      </c>
      <c r="Q24" s="80" t="s">
        <v>414</v>
      </c>
      <c r="R24" s="80" t="s">
        <v>416</v>
      </c>
      <c r="S24" s="79"/>
      <c r="T24" s="79"/>
      <c r="U24" s="79">
        <v>3</v>
      </c>
      <c r="V24" s="80" t="s">
        <v>340</v>
      </c>
      <c r="W24" s="80" t="s">
        <v>346</v>
      </c>
      <c r="X24" s="80" t="s">
        <v>416</v>
      </c>
    </row>
    <row r="25" spans="3:26">
      <c r="C25" s="79">
        <v>4</v>
      </c>
      <c r="D25" s="80" t="s">
        <v>435</v>
      </c>
      <c r="E25" s="80" t="s">
        <v>358</v>
      </c>
      <c r="F25" s="80" t="s">
        <v>365</v>
      </c>
      <c r="G25" s="79" t="s">
        <v>435</v>
      </c>
      <c r="H25" s="79"/>
      <c r="I25" s="79">
        <v>4</v>
      </c>
      <c r="J25" s="80" t="s">
        <v>400</v>
      </c>
      <c r="K25" s="80" t="s">
        <v>375</v>
      </c>
      <c r="L25" s="80" t="s">
        <v>415</v>
      </c>
      <c r="M25" s="79"/>
      <c r="N25" s="79"/>
      <c r="O25" s="79">
        <v>4</v>
      </c>
      <c r="P25" s="80" t="s">
        <v>353</v>
      </c>
      <c r="Q25" s="80" t="s">
        <v>443</v>
      </c>
      <c r="R25" s="80" t="s">
        <v>383</v>
      </c>
      <c r="S25" s="79"/>
      <c r="T25" s="79"/>
      <c r="U25" s="79">
        <v>4</v>
      </c>
      <c r="V25" s="80" t="s">
        <v>372</v>
      </c>
      <c r="W25" s="80" t="s">
        <v>373</v>
      </c>
      <c r="X25" s="80" t="s">
        <v>415</v>
      </c>
    </row>
    <row r="26" spans="3:26">
      <c r="C26" s="79">
        <v>5</v>
      </c>
      <c r="D26" s="80" t="s">
        <v>471</v>
      </c>
      <c r="E26" s="80" t="s">
        <v>359</v>
      </c>
      <c r="F26" s="80" t="s">
        <v>417</v>
      </c>
      <c r="G26" s="79"/>
      <c r="H26" s="79"/>
      <c r="I26" s="79">
        <v>5</v>
      </c>
      <c r="J26" s="80" t="s">
        <v>336</v>
      </c>
      <c r="K26" s="80" t="s">
        <v>390</v>
      </c>
      <c r="L26" s="80" t="s">
        <v>342</v>
      </c>
      <c r="M26" s="79"/>
      <c r="N26" s="79"/>
      <c r="O26" s="79">
        <v>5</v>
      </c>
      <c r="P26" s="80" t="s">
        <v>399</v>
      </c>
      <c r="Q26" s="80" t="s">
        <v>382</v>
      </c>
      <c r="R26" s="80" t="s">
        <v>422</v>
      </c>
      <c r="S26" s="79"/>
      <c r="T26" s="79"/>
      <c r="U26" s="79">
        <v>5</v>
      </c>
      <c r="V26" s="80" t="s">
        <v>423</v>
      </c>
      <c r="W26" s="80" t="s">
        <v>390</v>
      </c>
      <c r="X26" s="80" t="s">
        <v>342</v>
      </c>
    </row>
    <row r="27" spans="3:26">
      <c r="C27" s="81" t="s">
        <v>335</v>
      </c>
      <c r="D27" s="80" t="s">
        <v>368</v>
      </c>
      <c r="E27" s="80" t="s">
        <v>362</v>
      </c>
      <c r="F27" s="80" t="s">
        <v>373</v>
      </c>
      <c r="G27" s="79"/>
      <c r="H27" s="79"/>
      <c r="I27" s="81" t="s">
        <v>335</v>
      </c>
      <c r="J27" s="80" t="s">
        <v>406</v>
      </c>
      <c r="K27" s="80" t="s">
        <v>454</v>
      </c>
      <c r="L27" s="80" t="s">
        <v>343</v>
      </c>
      <c r="M27" s="79"/>
      <c r="N27" s="79"/>
      <c r="O27" s="81" t="s">
        <v>335</v>
      </c>
      <c r="P27" s="80" t="s">
        <v>369</v>
      </c>
      <c r="Q27" s="80" t="s">
        <v>425</v>
      </c>
      <c r="R27" s="80" t="s">
        <v>376</v>
      </c>
      <c r="S27" s="79"/>
      <c r="T27" s="79"/>
      <c r="U27" s="81" t="s">
        <v>335</v>
      </c>
      <c r="V27" s="80" t="s">
        <v>419</v>
      </c>
      <c r="W27" s="80" t="s">
        <v>387</v>
      </c>
      <c r="X27" s="80" t="s">
        <v>357</v>
      </c>
    </row>
    <row r="28" spans="3:26">
      <c r="C28" s="79"/>
      <c r="D28" s="80"/>
      <c r="E28" s="80"/>
      <c r="F28" s="80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</row>
  </sheetData>
  <mergeCells count="14">
    <mergeCell ref="D21:F21"/>
    <mergeCell ref="J21:L21"/>
    <mergeCell ref="P21:R21"/>
    <mergeCell ref="V21:X21"/>
    <mergeCell ref="D4:F4"/>
    <mergeCell ref="J4:L4"/>
    <mergeCell ref="P4:R4"/>
    <mergeCell ref="D12:F12"/>
    <mergeCell ref="D13:F13"/>
    <mergeCell ref="J13:L13"/>
    <mergeCell ref="P13:R13"/>
    <mergeCell ref="J5:L5"/>
    <mergeCell ref="P5:R5"/>
    <mergeCell ref="D5:F5"/>
  </mergeCells>
  <phoneticPr fontId="9"/>
  <pageMargins left="0.7" right="0.7" top="0.75" bottom="0.75" header="0.3" footer="0.3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1BDA-CFC0-4ECB-9828-EC5E630EC3BC}">
  <dimension ref="C4:R28"/>
  <sheetViews>
    <sheetView topLeftCell="C1" workbookViewId="0">
      <selection activeCell="H8" sqref="H8"/>
    </sheetView>
  </sheetViews>
  <sheetFormatPr defaultRowHeight="12.75"/>
  <sheetData>
    <row r="4" spans="3:18">
      <c r="C4" s="79"/>
      <c r="D4" s="118" t="s">
        <v>431</v>
      </c>
      <c r="E4" s="118"/>
      <c r="F4" s="118"/>
      <c r="G4" s="79"/>
      <c r="H4" s="79"/>
      <c r="I4" s="118" t="s">
        <v>438</v>
      </c>
      <c r="J4" s="118"/>
      <c r="K4" s="118"/>
      <c r="L4" s="79"/>
      <c r="M4" s="79"/>
      <c r="N4" s="118" t="s">
        <v>439</v>
      </c>
      <c r="O4" s="118"/>
      <c r="P4" s="118"/>
      <c r="Q4" s="79"/>
      <c r="R4" s="79"/>
    </row>
    <row r="5" spans="3:18">
      <c r="C5" s="79"/>
      <c r="D5" s="80" t="s">
        <v>334</v>
      </c>
      <c r="E5" s="80" t="s">
        <v>267</v>
      </c>
      <c r="F5" s="80" t="s">
        <v>274</v>
      </c>
      <c r="G5" s="79"/>
      <c r="H5" s="79"/>
      <c r="I5" s="80" t="s">
        <v>334</v>
      </c>
      <c r="J5" s="80" t="s">
        <v>267</v>
      </c>
      <c r="K5" s="80" t="s">
        <v>274</v>
      </c>
      <c r="L5" s="79"/>
      <c r="M5" s="79"/>
      <c r="N5" s="80" t="s">
        <v>334</v>
      </c>
      <c r="O5" s="80" t="s">
        <v>267</v>
      </c>
      <c r="P5" s="80" t="s">
        <v>274</v>
      </c>
      <c r="Q5" s="79"/>
      <c r="R5" s="79"/>
    </row>
    <row r="6" spans="3:18">
      <c r="C6" s="79">
        <v>1</v>
      </c>
      <c r="D6" s="80" t="s">
        <v>336</v>
      </c>
      <c r="E6" s="80" t="s">
        <v>373</v>
      </c>
      <c r="F6" s="80" t="s">
        <v>343</v>
      </c>
      <c r="G6" s="79"/>
      <c r="H6" s="79">
        <v>1</v>
      </c>
      <c r="I6" s="80" t="s">
        <v>350</v>
      </c>
      <c r="J6" s="80" t="s">
        <v>418</v>
      </c>
      <c r="K6" s="80" t="s">
        <v>366</v>
      </c>
      <c r="L6" s="79" t="s">
        <v>436</v>
      </c>
      <c r="M6" s="79">
        <v>1</v>
      </c>
      <c r="N6" s="80" t="s">
        <v>336</v>
      </c>
      <c r="O6" s="80" t="s">
        <v>390</v>
      </c>
      <c r="P6" s="80" t="s">
        <v>403</v>
      </c>
      <c r="Q6" s="79" t="s">
        <v>436</v>
      </c>
      <c r="R6" s="79"/>
    </row>
    <row r="7" spans="3:18">
      <c r="C7" s="79">
        <v>2</v>
      </c>
      <c r="D7" s="80" t="s">
        <v>337</v>
      </c>
      <c r="E7" s="80" t="s">
        <v>411</v>
      </c>
      <c r="F7" s="80" t="s">
        <v>458</v>
      </c>
      <c r="G7" s="79"/>
      <c r="H7" s="79">
        <v>2</v>
      </c>
      <c r="I7" s="80" t="s">
        <v>354</v>
      </c>
      <c r="J7" s="80" t="s">
        <v>358</v>
      </c>
      <c r="K7" s="80" t="s">
        <v>404</v>
      </c>
      <c r="L7" s="79"/>
      <c r="M7" s="79">
        <v>2</v>
      </c>
      <c r="N7" s="80" t="s">
        <v>337</v>
      </c>
      <c r="O7" s="80" t="s">
        <v>363</v>
      </c>
      <c r="P7" s="80" t="s">
        <v>344</v>
      </c>
      <c r="Q7" s="79" t="s">
        <v>436</v>
      </c>
      <c r="R7" s="79"/>
    </row>
    <row r="8" spans="3:18">
      <c r="C8" s="79">
        <v>3</v>
      </c>
      <c r="D8" s="80" t="s">
        <v>338</v>
      </c>
      <c r="E8" s="80" t="s">
        <v>424</v>
      </c>
      <c r="F8" s="80" t="s">
        <v>374</v>
      </c>
      <c r="G8" s="79"/>
      <c r="H8" s="79">
        <v>3</v>
      </c>
      <c r="I8" s="80" t="s">
        <v>352</v>
      </c>
      <c r="J8" s="80" t="s">
        <v>362</v>
      </c>
      <c r="K8" s="80" t="s">
        <v>365</v>
      </c>
      <c r="L8" s="79"/>
      <c r="M8" s="79">
        <v>3</v>
      </c>
      <c r="N8" s="80" t="s">
        <v>367</v>
      </c>
      <c r="O8" s="80" t="s">
        <v>375</v>
      </c>
      <c r="P8" s="80" t="s">
        <v>348</v>
      </c>
      <c r="Q8" s="79"/>
      <c r="R8" s="79"/>
    </row>
    <row r="9" spans="3:18">
      <c r="C9" s="79">
        <v>4</v>
      </c>
      <c r="D9" s="80" t="s">
        <v>394</v>
      </c>
      <c r="E9" s="80" t="s">
        <v>346</v>
      </c>
      <c r="F9" s="80" t="s">
        <v>349</v>
      </c>
      <c r="G9" s="79"/>
      <c r="H9" s="79">
        <v>4</v>
      </c>
      <c r="I9" s="80" t="s">
        <v>353</v>
      </c>
      <c r="J9" s="80" t="s">
        <v>359</v>
      </c>
      <c r="K9" s="80" t="s">
        <v>417</v>
      </c>
      <c r="L9" s="79"/>
      <c r="M9" s="79">
        <v>4</v>
      </c>
      <c r="N9" s="80" t="s">
        <v>394</v>
      </c>
      <c r="O9" s="80" t="s">
        <v>441</v>
      </c>
      <c r="P9" s="80" t="s">
        <v>373</v>
      </c>
      <c r="Q9" s="79"/>
      <c r="R9" s="79"/>
    </row>
    <row r="10" spans="3:18">
      <c r="C10" s="79">
        <v>5</v>
      </c>
      <c r="D10" s="80" t="s">
        <v>413</v>
      </c>
      <c r="E10" s="80" t="s">
        <v>269</v>
      </c>
      <c r="F10" s="80" t="s">
        <v>342</v>
      </c>
      <c r="G10" s="79"/>
      <c r="H10" s="79">
        <v>5</v>
      </c>
      <c r="I10" s="80" t="s">
        <v>413</v>
      </c>
      <c r="J10" s="80" t="s">
        <v>410</v>
      </c>
      <c r="K10" s="80" t="s">
        <v>356</v>
      </c>
      <c r="L10" s="79"/>
      <c r="M10" s="79">
        <v>5</v>
      </c>
      <c r="N10" s="80" t="s">
        <v>372</v>
      </c>
      <c r="O10" s="80" t="s">
        <v>371</v>
      </c>
      <c r="P10" s="80" t="s">
        <v>342</v>
      </c>
      <c r="Q10" s="79"/>
      <c r="R10" s="79"/>
    </row>
    <row r="11" spans="3:18">
      <c r="C11" s="81" t="s">
        <v>335</v>
      </c>
      <c r="D11" s="80" t="s">
        <v>406</v>
      </c>
      <c r="E11" s="80" t="s">
        <v>425</v>
      </c>
      <c r="F11" s="80" t="s">
        <v>376</v>
      </c>
      <c r="G11" s="79"/>
      <c r="H11" s="81" t="s">
        <v>335</v>
      </c>
      <c r="I11" s="80" t="s">
        <v>369</v>
      </c>
      <c r="J11" s="80" t="s">
        <v>360</v>
      </c>
      <c r="K11" s="80" t="s">
        <v>384</v>
      </c>
      <c r="L11" s="79"/>
      <c r="M11" s="81" t="s">
        <v>335</v>
      </c>
      <c r="N11" s="80" t="s">
        <v>400</v>
      </c>
      <c r="O11" s="80" t="s">
        <v>414</v>
      </c>
      <c r="P11" s="80" t="s">
        <v>396</v>
      </c>
      <c r="Q11" s="79"/>
      <c r="R11" s="79"/>
    </row>
    <row r="12" spans="3:18">
      <c r="C12" s="79"/>
      <c r="D12" s="118"/>
      <c r="E12" s="118"/>
      <c r="F12" s="118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</row>
    <row r="13" spans="3:18">
      <c r="C13" s="79"/>
      <c r="D13" s="118" t="s">
        <v>433</v>
      </c>
      <c r="E13" s="118"/>
      <c r="F13" s="118"/>
      <c r="G13" s="79"/>
      <c r="H13" s="79"/>
      <c r="I13" s="118" t="s">
        <v>432</v>
      </c>
      <c r="J13" s="118"/>
      <c r="K13" s="118"/>
      <c r="L13" s="79" t="s">
        <v>437</v>
      </c>
      <c r="M13" s="79"/>
      <c r="N13" s="118" t="s">
        <v>434</v>
      </c>
      <c r="O13" s="118"/>
      <c r="P13" s="118"/>
      <c r="Q13" s="79"/>
      <c r="R13" s="79" t="s">
        <v>437</v>
      </c>
    </row>
    <row r="14" spans="3:18">
      <c r="C14" s="79">
        <v>1</v>
      </c>
      <c r="D14" s="80" t="s">
        <v>377</v>
      </c>
      <c r="E14" s="80" t="s">
        <v>485</v>
      </c>
      <c r="F14" s="80" t="s">
        <v>382</v>
      </c>
      <c r="G14" s="79"/>
      <c r="H14" s="79">
        <v>1</v>
      </c>
      <c r="I14" s="80" t="s">
        <v>427</v>
      </c>
      <c r="J14" s="80" t="s">
        <v>266</v>
      </c>
      <c r="K14" s="80" t="s">
        <v>383</v>
      </c>
      <c r="L14" s="79" t="s">
        <v>446</v>
      </c>
      <c r="M14" s="79">
        <v>1</v>
      </c>
      <c r="N14" s="80" t="s">
        <v>398</v>
      </c>
      <c r="O14" s="80" t="s">
        <v>412</v>
      </c>
      <c r="P14" s="80" t="s">
        <v>365</v>
      </c>
      <c r="Q14" s="79"/>
      <c r="R14" s="79"/>
    </row>
    <row r="15" spans="3:18">
      <c r="C15" s="79">
        <v>2</v>
      </c>
      <c r="D15" s="80" t="s">
        <v>378</v>
      </c>
      <c r="E15" s="80" t="s">
        <v>384</v>
      </c>
      <c r="F15" s="80" t="s">
        <v>441</v>
      </c>
      <c r="G15" s="79"/>
      <c r="H15" s="79">
        <v>2</v>
      </c>
      <c r="I15" s="80" t="s">
        <v>378</v>
      </c>
      <c r="J15" s="80" t="s">
        <v>384</v>
      </c>
      <c r="K15" s="80" t="s">
        <v>395</v>
      </c>
      <c r="L15" s="79"/>
      <c r="M15" s="79">
        <v>2</v>
      </c>
      <c r="N15" s="80" t="s">
        <v>486</v>
      </c>
      <c r="O15" s="80" t="s">
        <v>358</v>
      </c>
      <c r="P15" s="80" t="s">
        <v>270</v>
      </c>
      <c r="Q15" s="79" t="s">
        <v>436</v>
      </c>
      <c r="R15" s="79"/>
    </row>
    <row r="16" spans="3:18">
      <c r="C16" s="79">
        <v>3</v>
      </c>
      <c r="D16" s="80" t="s">
        <v>379</v>
      </c>
      <c r="E16" s="80" t="s">
        <v>390</v>
      </c>
      <c r="F16" s="80" t="s">
        <v>388</v>
      </c>
      <c r="G16" s="79"/>
      <c r="H16" s="79">
        <v>3</v>
      </c>
      <c r="I16" s="80" t="s">
        <v>379</v>
      </c>
      <c r="J16" s="80" t="s">
        <v>485</v>
      </c>
      <c r="K16" s="80" t="s">
        <v>389</v>
      </c>
      <c r="L16" s="79"/>
      <c r="M16" s="79">
        <v>3</v>
      </c>
      <c r="N16" s="80" t="s">
        <v>401</v>
      </c>
      <c r="O16" s="80" t="s">
        <v>359</v>
      </c>
      <c r="P16" s="80" t="s">
        <v>444</v>
      </c>
      <c r="Q16" s="79"/>
      <c r="R16" s="79" t="s">
        <v>445</v>
      </c>
    </row>
    <row r="17" spans="3:18">
      <c r="C17" s="79">
        <v>4</v>
      </c>
      <c r="D17" s="80" t="s">
        <v>380</v>
      </c>
      <c r="E17" s="80" t="s">
        <v>385</v>
      </c>
      <c r="F17" s="80" t="s">
        <v>396</v>
      </c>
      <c r="G17" s="79" t="s">
        <v>436</v>
      </c>
      <c r="H17" s="79">
        <v>4</v>
      </c>
      <c r="I17" s="80" t="s">
        <v>400</v>
      </c>
      <c r="J17" s="80" t="s">
        <v>385</v>
      </c>
      <c r="K17" s="80" t="s">
        <v>415</v>
      </c>
      <c r="L17" s="79" t="s">
        <v>449</v>
      </c>
      <c r="M17" s="79">
        <v>4</v>
      </c>
      <c r="N17" s="80" t="s">
        <v>351</v>
      </c>
      <c r="O17" s="80" t="s">
        <v>402</v>
      </c>
      <c r="P17" s="80" t="s">
        <v>363</v>
      </c>
      <c r="Q17" s="79"/>
      <c r="R17" s="79"/>
    </row>
    <row r="18" spans="3:18">
      <c r="C18" s="79">
        <v>5</v>
      </c>
      <c r="D18" s="80" t="s">
        <v>406</v>
      </c>
      <c r="E18" s="80" t="s">
        <v>266</v>
      </c>
      <c r="F18" s="80" t="s">
        <v>416</v>
      </c>
      <c r="G18" s="79"/>
      <c r="H18" s="79">
        <v>5</v>
      </c>
      <c r="I18" s="80" t="s">
        <v>381</v>
      </c>
      <c r="J18" s="80" t="s">
        <v>386</v>
      </c>
      <c r="K18" s="80" t="s">
        <v>416</v>
      </c>
      <c r="L18" s="79"/>
      <c r="M18" s="79">
        <v>5</v>
      </c>
      <c r="N18" s="80" t="s">
        <v>400</v>
      </c>
      <c r="O18" s="80" t="s">
        <v>356</v>
      </c>
      <c r="P18" s="80" t="s">
        <v>357</v>
      </c>
      <c r="Q18" s="79"/>
      <c r="R18" s="79"/>
    </row>
    <row r="19" spans="3:18">
      <c r="C19" s="81" t="s">
        <v>335</v>
      </c>
      <c r="D19" s="80" t="s">
        <v>369</v>
      </c>
      <c r="E19" s="80" t="s">
        <v>387</v>
      </c>
      <c r="F19" s="80" t="s">
        <v>373</v>
      </c>
      <c r="G19" s="79"/>
      <c r="H19" s="81" t="s">
        <v>335</v>
      </c>
      <c r="I19" s="80" t="s">
        <v>368</v>
      </c>
      <c r="J19" s="80" t="s">
        <v>362</v>
      </c>
      <c r="K19" s="80" t="s">
        <v>398</v>
      </c>
      <c r="L19" s="79"/>
      <c r="M19" s="81" t="s">
        <v>335</v>
      </c>
      <c r="N19" s="80" t="s">
        <v>381</v>
      </c>
      <c r="O19" s="80" t="s">
        <v>371</v>
      </c>
      <c r="P19" s="80" t="s">
        <v>426</v>
      </c>
      <c r="Q19" s="79"/>
      <c r="R19" s="79"/>
    </row>
    <row r="20" spans="3:18">
      <c r="C20" s="79"/>
      <c r="D20" s="118"/>
      <c r="E20" s="118"/>
      <c r="F20" s="118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</row>
    <row r="21" spans="3:18">
      <c r="C21" s="79"/>
      <c r="D21" s="118" t="s">
        <v>461</v>
      </c>
      <c r="E21" s="118"/>
      <c r="F21" s="118"/>
      <c r="G21" s="79" t="s">
        <v>437</v>
      </c>
      <c r="H21" s="79"/>
      <c r="I21" s="118" t="s">
        <v>460</v>
      </c>
      <c r="J21" s="118"/>
      <c r="K21" s="118"/>
      <c r="L21" s="79"/>
      <c r="M21" s="79"/>
      <c r="N21" s="79"/>
      <c r="O21" s="79"/>
      <c r="P21" s="79"/>
      <c r="Q21" s="79"/>
      <c r="R21" s="79"/>
    </row>
    <row r="22" spans="3:18">
      <c r="C22" s="79">
        <v>1</v>
      </c>
      <c r="D22" s="80" t="s">
        <v>427</v>
      </c>
      <c r="E22" s="80" t="s">
        <v>443</v>
      </c>
      <c r="F22" s="80" t="s">
        <v>405</v>
      </c>
      <c r="G22" s="79" t="s">
        <v>475</v>
      </c>
      <c r="H22" s="79">
        <v>1</v>
      </c>
      <c r="I22" s="80" t="s">
        <v>399</v>
      </c>
      <c r="J22" s="80" t="s">
        <v>402</v>
      </c>
      <c r="K22" s="80" t="s">
        <v>422</v>
      </c>
      <c r="L22" s="79"/>
      <c r="M22" s="79"/>
      <c r="N22" s="79"/>
      <c r="O22" s="79"/>
      <c r="P22" s="79"/>
      <c r="Q22" s="79"/>
      <c r="R22" s="79"/>
    </row>
    <row r="23" spans="3:18">
      <c r="C23" s="79">
        <v>2</v>
      </c>
      <c r="D23" s="80" t="s">
        <v>413</v>
      </c>
      <c r="E23" s="80" t="s">
        <v>412</v>
      </c>
      <c r="F23" s="80" t="s">
        <v>364</v>
      </c>
      <c r="G23" s="79"/>
      <c r="H23" s="79">
        <v>2</v>
      </c>
      <c r="I23" s="80" t="s">
        <v>394</v>
      </c>
      <c r="J23" s="80" t="s">
        <v>448</v>
      </c>
      <c r="K23" s="80" t="s">
        <v>348</v>
      </c>
      <c r="L23" s="79"/>
      <c r="M23" s="79"/>
      <c r="N23" s="79"/>
      <c r="O23" s="79"/>
      <c r="P23" s="79"/>
      <c r="Q23" s="79"/>
      <c r="R23" s="79"/>
    </row>
    <row r="24" spans="3:18">
      <c r="C24" s="79">
        <v>3</v>
      </c>
      <c r="D24" s="80" t="s">
        <v>442</v>
      </c>
      <c r="E24" s="80" t="s">
        <v>414</v>
      </c>
      <c r="F24" s="80" t="s">
        <v>366</v>
      </c>
      <c r="G24" s="79"/>
      <c r="H24" s="79">
        <v>3</v>
      </c>
      <c r="I24" s="80" t="s">
        <v>340</v>
      </c>
      <c r="J24" s="80" t="s">
        <v>346</v>
      </c>
      <c r="K24" s="80" t="s">
        <v>416</v>
      </c>
      <c r="L24" s="79"/>
      <c r="M24" s="79"/>
      <c r="N24" s="79"/>
      <c r="O24" s="79"/>
      <c r="P24" s="79"/>
      <c r="Q24" s="79"/>
      <c r="R24" s="79"/>
    </row>
    <row r="25" spans="3:18">
      <c r="C25" s="79">
        <v>4</v>
      </c>
      <c r="D25" s="80" t="s">
        <v>352</v>
      </c>
      <c r="E25" s="80" t="s">
        <v>356</v>
      </c>
      <c r="F25" s="80" t="s">
        <v>351</v>
      </c>
      <c r="G25" s="79"/>
      <c r="H25" s="79">
        <v>4</v>
      </c>
      <c r="I25" s="80" t="s">
        <v>372</v>
      </c>
      <c r="J25" s="80" t="s">
        <v>373</v>
      </c>
      <c r="K25" s="80" t="s">
        <v>415</v>
      </c>
      <c r="L25" s="79"/>
      <c r="M25" s="79"/>
      <c r="N25" s="79"/>
      <c r="O25" s="79"/>
      <c r="P25" s="79"/>
      <c r="Q25" s="79"/>
      <c r="R25" s="79"/>
    </row>
    <row r="26" spans="3:18">
      <c r="C26" s="79">
        <v>5</v>
      </c>
      <c r="D26" s="80" t="s">
        <v>353</v>
      </c>
      <c r="E26" s="80" t="s">
        <v>410</v>
      </c>
      <c r="F26" s="80" t="s">
        <v>417</v>
      </c>
      <c r="G26" s="79"/>
      <c r="H26" s="79">
        <v>5</v>
      </c>
      <c r="I26" s="80" t="s">
        <v>423</v>
      </c>
      <c r="J26" s="80" t="s">
        <v>390</v>
      </c>
      <c r="K26" s="80" t="s">
        <v>342</v>
      </c>
      <c r="L26" s="79"/>
      <c r="M26" s="79"/>
      <c r="N26" s="79"/>
      <c r="O26" s="79"/>
      <c r="P26" s="79"/>
      <c r="Q26" s="79"/>
      <c r="R26" s="79"/>
    </row>
    <row r="27" spans="3:18">
      <c r="C27" s="81" t="s">
        <v>335</v>
      </c>
      <c r="D27" s="80" t="s">
        <v>338</v>
      </c>
      <c r="E27" s="80" t="s">
        <v>425</v>
      </c>
      <c r="F27" s="80" t="s">
        <v>376</v>
      </c>
      <c r="G27" s="79"/>
      <c r="H27" s="81" t="s">
        <v>335</v>
      </c>
      <c r="I27" s="80" t="s">
        <v>419</v>
      </c>
      <c r="J27" s="80" t="s">
        <v>387</v>
      </c>
      <c r="K27" s="80" t="s">
        <v>357</v>
      </c>
      <c r="L27" s="79"/>
      <c r="M27" s="79"/>
      <c r="N27" s="79"/>
      <c r="O27" s="79"/>
      <c r="P27" s="79"/>
      <c r="Q27" s="79"/>
      <c r="R27" s="79"/>
    </row>
    <row r="28" spans="3:18"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</row>
  </sheetData>
  <mergeCells count="10">
    <mergeCell ref="D20:F20"/>
    <mergeCell ref="D21:F21"/>
    <mergeCell ref="I21:K21"/>
    <mergeCell ref="D4:F4"/>
    <mergeCell ref="I4:K4"/>
    <mergeCell ref="N4:P4"/>
    <mergeCell ref="D12:F12"/>
    <mergeCell ref="D13:F13"/>
    <mergeCell ref="I13:K13"/>
    <mergeCell ref="N13:P13"/>
  </mergeCells>
  <phoneticPr fontId="9"/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6690-9117-4AAA-9E2C-6BD3584B5BEC}">
  <dimension ref="B2:U27"/>
  <sheetViews>
    <sheetView topLeftCell="E1" workbookViewId="0">
      <selection activeCell="G3" sqref="G3"/>
    </sheetView>
  </sheetViews>
  <sheetFormatPr defaultRowHeight="12.75"/>
  <cols>
    <col min="2" max="2" width="11.265625" bestFit="1" customWidth="1"/>
    <col min="3" max="3" width="12.3984375" bestFit="1" customWidth="1"/>
    <col min="4" max="4" width="11.19921875" bestFit="1" customWidth="1"/>
    <col min="8" max="8" width="10.46484375" bestFit="1" customWidth="1"/>
    <col min="9" max="9" width="11.19921875" bestFit="1" customWidth="1"/>
    <col min="15" max="15" width="10.19921875" bestFit="1" customWidth="1"/>
    <col min="20" max="20" width="10.19921875" bestFit="1" customWidth="1"/>
  </cols>
  <sheetData>
    <row r="2" spans="2:21">
      <c r="B2" s="49" t="s">
        <v>328</v>
      </c>
      <c r="C2" s="50" t="s">
        <v>327</v>
      </c>
      <c r="D2" s="49" t="s">
        <v>326</v>
      </c>
      <c r="E2" s="49" t="s">
        <v>325</v>
      </c>
      <c r="F2" s="49" t="s">
        <v>330</v>
      </c>
      <c r="I2" s="49" t="s">
        <v>326</v>
      </c>
      <c r="J2" s="49" t="s">
        <v>325</v>
      </c>
      <c r="M2" s="49" t="s">
        <v>328</v>
      </c>
      <c r="N2" s="50" t="s">
        <v>327</v>
      </c>
      <c r="O2" s="49" t="s">
        <v>326</v>
      </c>
      <c r="P2" s="49" t="s">
        <v>325</v>
      </c>
      <c r="Q2" s="49" t="s">
        <v>330</v>
      </c>
      <c r="T2" s="49" t="s">
        <v>326</v>
      </c>
      <c r="U2" s="49" t="s">
        <v>325</v>
      </c>
    </row>
    <row r="3" spans="2:21">
      <c r="B3">
        <v>1</v>
      </c>
      <c r="C3" t="s">
        <v>277</v>
      </c>
      <c r="D3" s="75">
        <v>75980000</v>
      </c>
      <c r="E3">
        <v>3</v>
      </c>
      <c r="G3">
        <v>26</v>
      </c>
      <c r="H3" s="74" t="s">
        <v>322</v>
      </c>
      <c r="I3" s="75">
        <v>59840000</v>
      </c>
      <c r="J3">
        <v>8</v>
      </c>
      <c r="M3">
        <v>1</v>
      </c>
      <c r="N3" t="s">
        <v>277</v>
      </c>
      <c r="O3" s="75">
        <v>75980000</v>
      </c>
      <c r="R3">
        <v>26</v>
      </c>
      <c r="S3" s="74" t="s">
        <v>322</v>
      </c>
      <c r="T3" s="75">
        <v>59840000</v>
      </c>
      <c r="U3">
        <v>8</v>
      </c>
    </row>
    <row r="4" spans="2:21">
      <c r="B4">
        <v>2</v>
      </c>
      <c r="C4" t="s">
        <v>263</v>
      </c>
      <c r="D4" s="75">
        <v>75000000</v>
      </c>
      <c r="E4">
        <v>1</v>
      </c>
      <c r="G4">
        <v>27</v>
      </c>
      <c r="H4" t="s">
        <v>279</v>
      </c>
      <c r="I4" s="75">
        <v>59320000</v>
      </c>
      <c r="J4">
        <v>10</v>
      </c>
      <c r="M4">
        <v>2</v>
      </c>
      <c r="N4" t="s">
        <v>263</v>
      </c>
      <c r="O4" s="75">
        <v>75000000</v>
      </c>
      <c r="R4">
        <v>27</v>
      </c>
      <c r="S4" t="s">
        <v>279</v>
      </c>
      <c r="T4" s="75">
        <v>59320000</v>
      </c>
      <c r="U4">
        <v>10</v>
      </c>
    </row>
    <row r="5" spans="2:21">
      <c r="B5">
        <v>3</v>
      </c>
      <c r="C5" t="s">
        <v>280</v>
      </c>
      <c r="D5" s="75">
        <v>70000000</v>
      </c>
      <c r="E5">
        <v>1</v>
      </c>
      <c r="G5">
        <v>28</v>
      </c>
      <c r="H5" t="s">
        <v>281</v>
      </c>
      <c r="I5" s="75">
        <v>58450000</v>
      </c>
      <c r="J5">
        <v>13</v>
      </c>
      <c r="M5">
        <v>3</v>
      </c>
      <c r="N5" t="s">
        <v>280</v>
      </c>
      <c r="O5" s="75">
        <v>70000000</v>
      </c>
      <c r="R5">
        <v>28</v>
      </c>
      <c r="S5" t="s">
        <v>281</v>
      </c>
      <c r="T5" s="75">
        <v>58450000</v>
      </c>
      <c r="U5">
        <v>13</v>
      </c>
    </row>
    <row r="6" spans="2:21">
      <c r="B6">
        <v>4</v>
      </c>
      <c r="C6" t="s">
        <v>282</v>
      </c>
      <c r="D6" s="75">
        <v>69900000</v>
      </c>
      <c r="E6" s="49">
        <v>2</v>
      </c>
      <c r="G6">
        <v>29</v>
      </c>
      <c r="H6" s="50" t="s">
        <v>283</v>
      </c>
      <c r="I6" s="75">
        <v>58440000</v>
      </c>
      <c r="J6" s="50">
        <v>10</v>
      </c>
      <c r="M6">
        <v>4</v>
      </c>
      <c r="N6" t="s">
        <v>282</v>
      </c>
      <c r="O6" s="75">
        <v>69900000</v>
      </c>
      <c r="P6" s="49"/>
      <c r="R6">
        <v>29</v>
      </c>
      <c r="S6" s="50" t="s">
        <v>283</v>
      </c>
      <c r="T6" s="75">
        <v>58440000</v>
      </c>
      <c r="U6" s="50">
        <v>10</v>
      </c>
    </row>
    <row r="7" spans="2:21">
      <c r="B7">
        <v>5</v>
      </c>
      <c r="C7" t="s">
        <v>284</v>
      </c>
      <c r="D7" s="75">
        <v>68000000</v>
      </c>
      <c r="E7">
        <v>1</v>
      </c>
      <c r="G7">
        <v>30</v>
      </c>
      <c r="H7" s="74" t="s">
        <v>287</v>
      </c>
      <c r="I7" s="75">
        <v>58390000</v>
      </c>
      <c r="J7">
        <v>8</v>
      </c>
      <c r="M7">
        <v>5</v>
      </c>
      <c r="N7" t="s">
        <v>284</v>
      </c>
      <c r="O7" s="75">
        <v>68000000</v>
      </c>
      <c r="R7">
        <v>30</v>
      </c>
      <c r="S7" s="74" t="s">
        <v>287</v>
      </c>
      <c r="T7" s="75">
        <v>58390000</v>
      </c>
      <c r="U7">
        <v>8</v>
      </c>
    </row>
    <row r="8" spans="2:21">
      <c r="B8">
        <v>6</v>
      </c>
      <c r="C8" t="s">
        <v>290</v>
      </c>
      <c r="D8" s="75">
        <v>66670000</v>
      </c>
      <c r="E8">
        <v>2</v>
      </c>
      <c r="G8">
        <v>31</v>
      </c>
      <c r="H8" s="74" t="s">
        <v>285</v>
      </c>
      <c r="I8" s="75">
        <v>58280000</v>
      </c>
      <c r="J8">
        <v>9</v>
      </c>
      <c r="M8">
        <v>6</v>
      </c>
      <c r="N8" t="s">
        <v>290</v>
      </c>
      <c r="O8" s="75">
        <v>66670000</v>
      </c>
      <c r="R8">
        <v>31</v>
      </c>
      <c r="S8" s="74" t="s">
        <v>285</v>
      </c>
      <c r="T8" s="75">
        <v>58280000</v>
      </c>
      <c r="U8">
        <v>9</v>
      </c>
    </row>
    <row r="9" spans="2:21">
      <c r="B9">
        <v>7</v>
      </c>
      <c r="C9" s="74" t="s">
        <v>286</v>
      </c>
      <c r="D9" s="75">
        <v>66300000</v>
      </c>
      <c r="E9">
        <v>3</v>
      </c>
      <c r="G9">
        <v>32</v>
      </c>
      <c r="H9" s="74" t="s">
        <v>291</v>
      </c>
      <c r="I9" s="75">
        <v>58040000</v>
      </c>
      <c r="J9">
        <v>8</v>
      </c>
      <c r="M9">
        <v>7</v>
      </c>
      <c r="N9" s="74" t="s">
        <v>286</v>
      </c>
      <c r="O9" s="75">
        <v>66300000</v>
      </c>
      <c r="R9">
        <v>32</v>
      </c>
      <c r="S9" s="74" t="s">
        <v>291</v>
      </c>
      <c r="T9" s="75">
        <v>58040000</v>
      </c>
      <c r="U9">
        <v>8</v>
      </c>
    </row>
    <row r="10" spans="2:21">
      <c r="B10">
        <v>8</v>
      </c>
      <c r="C10" s="74" t="s">
        <v>288</v>
      </c>
      <c r="D10" s="75">
        <v>66100000</v>
      </c>
      <c r="E10">
        <v>3</v>
      </c>
      <c r="G10">
        <v>33</v>
      </c>
      <c r="H10" s="74" t="s">
        <v>289</v>
      </c>
      <c r="I10" s="75">
        <v>57500000</v>
      </c>
      <c r="J10">
        <v>13</v>
      </c>
      <c r="M10">
        <v>8</v>
      </c>
      <c r="N10" s="74" t="s">
        <v>288</v>
      </c>
      <c r="O10" s="75">
        <v>66100000</v>
      </c>
      <c r="R10">
        <v>33</v>
      </c>
      <c r="S10" s="74" t="s">
        <v>289</v>
      </c>
      <c r="T10" s="75">
        <v>57500000</v>
      </c>
      <c r="U10">
        <v>13</v>
      </c>
    </row>
    <row r="11" spans="2:21">
      <c r="B11">
        <v>9</v>
      </c>
      <c r="C11" t="s">
        <v>292</v>
      </c>
      <c r="D11" s="75">
        <v>65340000</v>
      </c>
      <c r="E11">
        <v>4</v>
      </c>
      <c r="G11">
        <v>34</v>
      </c>
      <c r="H11" t="s">
        <v>293</v>
      </c>
      <c r="I11" s="75">
        <v>57400000</v>
      </c>
      <c r="J11">
        <v>4</v>
      </c>
      <c r="M11">
        <v>9</v>
      </c>
      <c r="N11" t="s">
        <v>292</v>
      </c>
      <c r="O11" s="75">
        <v>65340000</v>
      </c>
      <c r="R11">
        <v>34</v>
      </c>
      <c r="S11" t="s">
        <v>293</v>
      </c>
      <c r="T11" s="75">
        <v>57400000</v>
      </c>
      <c r="U11">
        <v>4</v>
      </c>
    </row>
    <row r="12" spans="2:21">
      <c r="B12">
        <v>10</v>
      </c>
      <c r="C12" t="s">
        <v>294</v>
      </c>
      <c r="D12" s="75">
        <v>64410000</v>
      </c>
      <c r="E12">
        <v>5</v>
      </c>
      <c r="G12">
        <v>35</v>
      </c>
      <c r="H12" t="s">
        <v>295</v>
      </c>
      <c r="I12" s="75">
        <v>56370000</v>
      </c>
      <c r="J12">
        <v>11</v>
      </c>
      <c r="M12">
        <v>10</v>
      </c>
      <c r="N12" t="s">
        <v>294</v>
      </c>
      <c r="O12" s="75">
        <v>64410000</v>
      </c>
      <c r="R12">
        <v>35</v>
      </c>
      <c r="S12" t="s">
        <v>295</v>
      </c>
      <c r="T12" s="75">
        <v>56370000</v>
      </c>
      <c r="U12">
        <v>11</v>
      </c>
    </row>
    <row r="13" spans="2:21">
      <c r="B13">
        <v>11</v>
      </c>
      <c r="C13" s="49" t="s">
        <v>299</v>
      </c>
      <c r="D13" s="75">
        <v>64300000</v>
      </c>
      <c r="E13">
        <v>5</v>
      </c>
      <c r="G13">
        <v>36</v>
      </c>
      <c r="H13" t="s">
        <v>296</v>
      </c>
      <c r="I13" s="75">
        <v>55750000</v>
      </c>
      <c r="J13">
        <v>11</v>
      </c>
      <c r="M13">
        <v>11</v>
      </c>
      <c r="N13" s="49" t="s">
        <v>299</v>
      </c>
      <c r="O13" s="75">
        <v>64300000</v>
      </c>
      <c r="R13">
        <v>36</v>
      </c>
      <c r="S13" t="s">
        <v>296</v>
      </c>
      <c r="T13" s="75">
        <v>55750000</v>
      </c>
      <c r="U13">
        <v>11</v>
      </c>
    </row>
    <row r="14" spans="2:21">
      <c r="B14">
        <v>12</v>
      </c>
      <c r="C14" s="50" t="s">
        <v>297</v>
      </c>
      <c r="D14" s="75">
        <v>64200000</v>
      </c>
      <c r="E14">
        <v>3</v>
      </c>
      <c r="G14">
        <v>37</v>
      </c>
      <c r="H14" s="77" t="s">
        <v>329</v>
      </c>
      <c r="I14" s="75">
        <v>55160000</v>
      </c>
      <c r="J14">
        <v>10</v>
      </c>
      <c r="M14">
        <v>12</v>
      </c>
      <c r="N14" s="50" t="s">
        <v>297</v>
      </c>
      <c r="O14" s="75">
        <v>64200000</v>
      </c>
      <c r="R14">
        <v>37</v>
      </c>
      <c r="S14" s="77" t="s">
        <v>329</v>
      </c>
      <c r="T14" s="75">
        <v>55160000</v>
      </c>
      <c r="U14">
        <v>10</v>
      </c>
    </row>
    <row r="15" spans="2:21">
      <c r="B15">
        <v>13</v>
      </c>
      <c r="C15" s="76" t="s">
        <v>324</v>
      </c>
      <c r="D15" s="75">
        <v>64150000</v>
      </c>
      <c r="E15">
        <v>6</v>
      </c>
      <c r="G15">
        <v>38</v>
      </c>
      <c r="H15" s="50" t="s">
        <v>301</v>
      </c>
      <c r="I15" s="75">
        <v>54850000</v>
      </c>
      <c r="J15" s="50">
        <v>10</v>
      </c>
      <c r="M15">
        <v>13</v>
      </c>
      <c r="N15" s="76" t="s">
        <v>324</v>
      </c>
      <c r="O15" s="75">
        <v>64150000</v>
      </c>
      <c r="R15">
        <v>38</v>
      </c>
      <c r="S15" s="50" t="s">
        <v>301</v>
      </c>
      <c r="T15" s="75">
        <v>54850000</v>
      </c>
      <c r="U15" s="50">
        <v>10</v>
      </c>
    </row>
    <row r="16" spans="2:21">
      <c r="B16">
        <v>14</v>
      </c>
      <c r="C16" t="s">
        <v>300</v>
      </c>
      <c r="D16" s="75">
        <v>62870000</v>
      </c>
      <c r="E16">
        <v>6</v>
      </c>
      <c r="G16">
        <v>39</v>
      </c>
      <c r="H16" t="s">
        <v>303</v>
      </c>
      <c r="I16" s="75">
        <v>54690000</v>
      </c>
      <c r="J16" s="50">
        <v>14</v>
      </c>
      <c r="M16">
        <v>14</v>
      </c>
      <c r="N16" t="s">
        <v>300</v>
      </c>
      <c r="O16" s="75">
        <v>62870000</v>
      </c>
      <c r="R16">
        <v>39</v>
      </c>
      <c r="S16" t="s">
        <v>303</v>
      </c>
      <c r="T16" s="75">
        <v>54690000</v>
      </c>
      <c r="U16" s="50">
        <v>14</v>
      </c>
    </row>
    <row r="17" spans="2:21">
      <c r="B17">
        <v>15</v>
      </c>
      <c r="C17" t="s">
        <v>302</v>
      </c>
      <c r="D17" s="75">
        <v>62750000</v>
      </c>
      <c r="E17">
        <v>6</v>
      </c>
      <c r="G17">
        <v>40</v>
      </c>
      <c r="H17" s="50" t="s">
        <v>298</v>
      </c>
      <c r="I17" s="75">
        <v>54690000</v>
      </c>
      <c r="J17" s="50">
        <v>13</v>
      </c>
      <c r="M17">
        <v>15</v>
      </c>
      <c r="N17" t="s">
        <v>302</v>
      </c>
      <c r="O17" s="75">
        <v>62750000</v>
      </c>
      <c r="R17">
        <v>40</v>
      </c>
      <c r="S17" s="50" t="s">
        <v>298</v>
      </c>
      <c r="T17" s="75">
        <v>54690000</v>
      </c>
      <c r="U17" s="50">
        <v>13</v>
      </c>
    </row>
    <row r="18" spans="2:21">
      <c r="B18">
        <v>16</v>
      </c>
      <c r="C18" t="s">
        <v>304</v>
      </c>
      <c r="D18" s="75">
        <v>62680000</v>
      </c>
      <c r="E18">
        <v>5</v>
      </c>
      <c r="G18">
        <v>41</v>
      </c>
      <c r="H18" t="s">
        <v>305</v>
      </c>
      <c r="I18" s="75">
        <v>53860000</v>
      </c>
      <c r="J18">
        <v>12</v>
      </c>
      <c r="M18">
        <v>16</v>
      </c>
      <c r="N18" t="s">
        <v>304</v>
      </c>
      <c r="O18" s="75">
        <v>62680000</v>
      </c>
      <c r="R18">
        <v>41</v>
      </c>
      <c r="S18" t="s">
        <v>305</v>
      </c>
      <c r="T18" s="75">
        <v>53860000</v>
      </c>
      <c r="U18">
        <v>12</v>
      </c>
    </row>
    <row r="19" spans="2:21">
      <c r="B19">
        <v>17</v>
      </c>
      <c r="C19" t="s">
        <v>306</v>
      </c>
      <c r="D19" s="75">
        <v>62040000</v>
      </c>
      <c r="E19">
        <v>7</v>
      </c>
      <c r="G19">
        <v>42</v>
      </c>
      <c r="H19" s="74" t="s">
        <v>307</v>
      </c>
      <c r="I19" s="75">
        <v>53850000</v>
      </c>
      <c r="J19">
        <v>11</v>
      </c>
      <c r="M19">
        <v>17</v>
      </c>
      <c r="N19" t="s">
        <v>306</v>
      </c>
      <c r="O19" s="75">
        <v>62040000</v>
      </c>
      <c r="R19">
        <v>42</v>
      </c>
      <c r="S19" s="74" t="s">
        <v>307</v>
      </c>
      <c r="T19" s="75">
        <v>53850000</v>
      </c>
      <c r="U19">
        <v>11</v>
      </c>
    </row>
    <row r="20" spans="2:21">
      <c r="B20">
        <v>18</v>
      </c>
      <c r="C20" t="s">
        <v>308</v>
      </c>
      <c r="D20" s="75">
        <v>61280000</v>
      </c>
      <c r="E20">
        <v>7</v>
      </c>
      <c r="G20">
        <v>43</v>
      </c>
      <c r="H20" s="74" t="s">
        <v>311</v>
      </c>
      <c r="I20" s="75">
        <v>52000000</v>
      </c>
      <c r="J20">
        <v>14</v>
      </c>
      <c r="M20">
        <v>18</v>
      </c>
      <c r="N20" t="s">
        <v>308</v>
      </c>
      <c r="O20" s="75">
        <v>61280000</v>
      </c>
      <c r="R20">
        <v>43</v>
      </c>
      <c r="S20" s="74" t="s">
        <v>311</v>
      </c>
      <c r="T20" s="75">
        <v>52000000</v>
      </c>
      <c r="U20">
        <v>14</v>
      </c>
    </row>
    <row r="21" spans="2:21">
      <c r="B21">
        <v>19</v>
      </c>
      <c r="C21" t="s">
        <v>310</v>
      </c>
      <c r="D21" s="75">
        <v>61170000</v>
      </c>
      <c r="E21">
        <v>6</v>
      </c>
      <c r="G21">
        <v>44</v>
      </c>
      <c r="H21" s="74" t="s">
        <v>317</v>
      </c>
      <c r="I21" s="75">
        <v>51890000</v>
      </c>
      <c r="J21">
        <v>9</v>
      </c>
      <c r="M21">
        <v>19</v>
      </c>
      <c r="N21" t="s">
        <v>310</v>
      </c>
      <c r="O21" s="75">
        <v>61170000</v>
      </c>
      <c r="R21">
        <v>44</v>
      </c>
      <c r="S21" s="74" t="s">
        <v>317</v>
      </c>
      <c r="T21" s="75">
        <v>51890000</v>
      </c>
      <c r="U21">
        <v>9</v>
      </c>
    </row>
    <row r="22" spans="2:21">
      <c r="B22">
        <v>20</v>
      </c>
      <c r="C22" t="s">
        <v>312</v>
      </c>
      <c r="D22" s="75">
        <v>60480000</v>
      </c>
      <c r="E22">
        <v>7</v>
      </c>
      <c r="G22">
        <v>45</v>
      </c>
      <c r="H22" s="74" t="s">
        <v>313</v>
      </c>
      <c r="I22" s="75">
        <v>51650000</v>
      </c>
      <c r="J22">
        <v>12</v>
      </c>
      <c r="M22">
        <v>20</v>
      </c>
      <c r="N22" t="s">
        <v>312</v>
      </c>
      <c r="O22" s="75">
        <v>60480000</v>
      </c>
      <c r="R22">
        <v>45</v>
      </c>
      <c r="S22" s="74" t="s">
        <v>313</v>
      </c>
      <c r="T22" s="75">
        <v>51650000</v>
      </c>
      <c r="U22">
        <v>12</v>
      </c>
    </row>
    <row r="23" spans="2:21">
      <c r="B23">
        <v>21</v>
      </c>
      <c r="C23" t="s">
        <v>314</v>
      </c>
      <c r="D23" s="75">
        <v>60468000</v>
      </c>
      <c r="E23">
        <v>4</v>
      </c>
      <c r="G23">
        <v>46</v>
      </c>
      <c r="H23" t="s">
        <v>315</v>
      </c>
      <c r="I23" s="75">
        <v>51640000</v>
      </c>
      <c r="J23">
        <v>12</v>
      </c>
      <c r="M23">
        <v>21</v>
      </c>
      <c r="N23" t="s">
        <v>314</v>
      </c>
      <c r="O23" s="75">
        <v>60468000</v>
      </c>
      <c r="R23">
        <v>46</v>
      </c>
      <c r="S23" t="s">
        <v>315</v>
      </c>
      <c r="T23" s="75">
        <v>51640000</v>
      </c>
      <c r="U23">
        <v>12</v>
      </c>
    </row>
    <row r="24" spans="2:21">
      <c r="B24">
        <v>22</v>
      </c>
      <c r="C24" s="74" t="s">
        <v>320</v>
      </c>
      <c r="D24" s="75">
        <v>60375000</v>
      </c>
      <c r="E24">
        <v>7</v>
      </c>
      <c r="G24">
        <v>47</v>
      </c>
      <c r="H24" s="74" t="s">
        <v>319</v>
      </c>
      <c r="I24" s="75">
        <v>50350000</v>
      </c>
      <c r="J24">
        <v>12</v>
      </c>
      <c r="M24">
        <v>22</v>
      </c>
      <c r="N24" s="74" t="s">
        <v>320</v>
      </c>
      <c r="O24" s="75">
        <v>60375000</v>
      </c>
      <c r="R24">
        <v>47</v>
      </c>
      <c r="S24" s="74" t="s">
        <v>319</v>
      </c>
      <c r="T24" s="75">
        <v>50350000</v>
      </c>
      <c r="U24">
        <v>12</v>
      </c>
    </row>
    <row r="25" spans="2:21">
      <c r="B25">
        <v>23</v>
      </c>
      <c r="C25" s="74" t="s">
        <v>316</v>
      </c>
      <c r="D25" s="75">
        <v>60300000</v>
      </c>
      <c r="E25">
        <v>9</v>
      </c>
      <c r="G25">
        <v>48</v>
      </c>
      <c r="H25" t="s">
        <v>321</v>
      </c>
      <c r="I25" s="75">
        <v>49790000</v>
      </c>
      <c r="J25">
        <v>14</v>
      </c>
      <c r="M25">
        <v>23</v>
      </c>
      <c r="N25" s="74" t="s">
        <v>316</v>
      </c>
      <c r="O25" s="75">
        <v>60300000</v>
      </c>
      <c r="R25">
        <v>48</v>
      </c>
      <c r="S25" t="s">
        <v>321</v>
      </c>
      <c r="T25" s="75">
        <v>49790000</v>
      </c>
      <c r="U25">
        <v>14</v>
      </c>
    </row>
    <row r="26" spans="2:21">
      <c r="B26">
        <v>24</v>
      </c>
      <c r="C26" s="74" t="s">
        <v>318</v>
      </c>
      <c r="D26" s="75">
        <v>60270000</v>
      </c>
      <c r="E26">
        <v>9</v>
      </c>
      <c r="G26">
        <v>49</v>
      </c>
      <c r="H26" s="74" t="s">
        <v>309</v>
      </c>
      <c r="I26" s="75">
        <v>49010000</v>
      </c>
      <c r="J26">
        <v>11</v>
      </c>
      <c r="M26">
        <v>24</v>
      </c>
      <c r="N26" s="74" t="s">
        <v>318</v>
      </c>
      <c r="O26" s="75">
        <v>60270000</v>
      </c>
      <c r="R26">
        <v>49</v>
      </c>
      <c r="S26" s="74" t="s">
        <v>309</v>
      </c>
      <c r="T26" s="75">
        <v>49010000</v>
      </c>
      <c r="U26">
        <v>11</v>
      </c>
    </row>
    <row r="27" spans="2:21">
      <c r="B27">
        <v>25</v>
      </c>
      <c r="C27" s="74" t="s">
        <v>278</v>
      </c>
      <c r="D27" s="75">
        <v>59900000</v>
      </c>
      <c r="E27">
        <v>8</v>
      </c>
      <c r="G27">
        <v>50</v>
      </c>
      <c r="H27" t="s">
        <v>323</v>
      </c>
      <c r="I27" s="75">
        <v>47490000</v>
      </c>
      <c r="J27">
        <v>14</v>
      </c>
      <c r="M27">
        <v>25</v>
      </c>
      <c r="N27" s="74" t="s">
        <v>278</v>
      </c>
      <c r="O27" s="75">
        <v>59900000</v>
      </c>
      <c r="P27">
        <v>8</v>
      </c>
      <c r="R27">
        <v>50</v>
      </c>
      <c r="S27" t="s">
        <v>323</v>
      </c>
      <c r="T27" s="75">
        <v>47490000</v>
      </c>
      <c r="U27">
        <v>14</v>
      </c>
    </row>
  </sheetData>
  <phoneticPr fontId="9"/>
  <pageMargins left="0.7" right="0.7" top="0.75" bottom="0.75" header="0.3" footer="0.3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B2A9-69BF-4683-BF77-BF28F5206FF1}">
  <dimension ref="A3:AD46"/>
  <sheetViews>
    <sheetView zoomScale="74" workbookViewId="0">
      <selection activeCell="F31" sqref="F31"/>
    </sheetView>
  </sheetViews>
  <sheetFormatPr defaultRowHeight="12.75"/>
  <cols>
    <col min="1" max="1" width="4.86328125" bestFit="1" customWidth="1"/>
    <col min="5" max="5" width="9.6640625" customWidth="1"/>
    <col min="6" max="6" width="9.73046875" customWidth="1"/>
    <col min="7" max="7" width="4.86328125" bestFit="1" customWidth="1"/>
    <col min="19" max="19" width="4.86328125" bestFit="1" customWidth="1"/>
    <col min="25" max="25" width="4.86328125" bestFit="1" customWidth="1"/>
  </cols>
  <sheetData>
    <row r="3" spans="1:30">
      <c r="A3" s="79"/>
      <c r="B3" s="118" t="s">
        <v>510</v>
      </c>
      <c r="C3" s="118"/>
      <c r="D3" s="118"/>
      <c r="E3" s="79"/>
      <c r="F3" s="79"/>
      <c r="G3" s="79"/>
      <c r="H3" s="118" t="s">
        <v>464</v>
      </c>
      <c r="I3" s="118"/>
      <c r="J3" s="118"/>
      <c r="K3" s="79"/>
      <c r="L3" s="79"/>
      <c r="M3" s="79"/>
      <c r="N3" s="118" t="s">
        <v>464</v>
      </c>
      <c r="O3" s="118"/>
      <c r="P3" s="118"/>
      <c r="Q3" s="79"/>
      <c r="R3" s="79"/>
      <c r="T3" s="118" t="s">
        <v>464</v>
      </c>
      <c r="U3" s="118"/>
      <c r="V3" s="118"/>
      <c r="X3" s="79"/>
      <c r="Y3" s="79"/>
      <c r="Z3" s="118" t="s">
        <v>464</v>
      </c>
      <c r="AA3" s="118"/>
      <c r="AB3" s="118"/>
    </row>
    <row r="4" spans="1:30">
      <c r="A4" s="79"/>
      <c r="B4" s="80" t="s">
        <v>334</v>
      </c>
      <c r="C4" s="80" t="s">
        <v>267</v>
      </c>
      <c r="D4" s="80" t="s">
        <v>274</v>
      </c>
      <c r="E4" s="80" t="s">
        <v>436</v>
      </c>
      <c r="F4" s="80" t="s">
        <v>437</v>
      </c>
      <c r="G4" s="79"/>
      <c r="H4" s="80" t="s">
        <v>334</v>
      </c>
      <c r="I4" s="80" t="s">
        <v>267</v>
      </c>
      <c r="J4" s="80" t="s">
        <v>274</v>
      </c>
      <c r="K4" s="80" t="s">
        <v>436</v>
      </c>
      <c r="L4" s="80" t="s">
        <v>437</v>
      </c>
      <c r="M4" s="79"/>
      <c r="N4" s="80" t="s">
        <v>334</v>
      </c>
      <c r="O4" s="80" t="s">
        <v>267</v>
      </c>
      <c r="P4" s="80" t="s">
        <v>274</v>
      </c>
      <c r="Q4" s="80" t="s">
        <v>436</v>
      </c>
      <c r="R4" s="80" t="s">
        <v>437</v>
      </c>
      <c r="S4" s="79"/>
      <c r="T4" s="80" t="s">
        <v>334</v>
      </c>
      <c r="U4" s="80" t="s">
        <v>267</v>
      </c>
      <c r="V4" s="80" t="s">
        <v>274</v>
      </c>
      <c r="W4" s="80" t="s">
        <v>436</v>
      </c>
      <c r="X4" s="80" t="s">
        <v>437</v>
      </c>
      <c r="Y4" s="79"/>
      <c r="Z4" s="80" t="s">
        <v>334</v>
      </c>
      <c r="AA4" s="80" t="s">
        <v>267</v>
      </c>
      <c r="AB4" s="80" t="s">
        <v>274</v>
      </c>
      <c r="AC4" s="80" t="s">
        <v>436</v>
      </c>
      <c r="AD4" s="80" t="s">
        <v>437</v>
      </c>
    </row>
    <row r="5" spans="1:30">
      <c r="A5" s="79">
        <v>1</v>
      </c>
      <c r="B5" s="80" t="s">
        <v>400</v>
      </c>
      <c r="C5" s="80" t="s">
        <v>384</v>
      </c>
      <c r="D5" s="80" t="s">
        <v>416</v>
      </c>
      <c r="E5" s="80"/>
      <c r="F5" s="80"/>
      <c r="G5" s="79">
        <v>1</v>
      </c>
      <c r="H5" s="80" t="s">
        <v>409</v>
      </c>
      <c r="I5" s="80" t="s">
        <v>362</v>
      </c>
      <c r="J5" s="80" t="s">
        <v>404</v>
      </c>
      <c r="K5" s="80" t="s">
        <v>404</v>
      </c>
      <c r="L5" s="80"/>
      <c r="M5" s="79">
        <v>1</v>
      </c>
      <c r="N5" s="80" t="s">
        <v>336</v>
      </c>
      <c r="O5" s="80" t="s">
        <v>269</v>
      </c>
      <c r="P5" s="80" t="s">
        <v>343</v>
      </c>
      <c r="Q5" s="80"/>
      <c r="R5" s="80"/>
      <c r="S5" s="79">
        <v>1</v>
      </c>
      <c r="T5" s="80"/>
      <c r="U5" s="80"/>
      <c r="V5" s="80"/>
      <c r="W5" s="80"/>
      <c r="X5" s="80"/>
      <c r="Y5" s="79">
        <v>1</v>
      </c>
      <c r="Z5" s="80"/>
      <c r="AA5" s="80"/>
      <c r="AB5" s="80"/>
      <c r="AC5" s="80"/>
      <c r="AD5" s="80"/>
    </row>
    <row r="6" spans="1:30">
      <c r="A6" s="79">
        <v>2</v>
      </c>
      <c r="B6" s="80" t="s">
        <v>378</v>
      </c>
      <c r="C6" s="80" t="s">
        <v>385</v>
      </c>
      <c r="D6" s="80" t="s">
        <v>444</v>
      </c>
      <c r="E6" s="80" t="s">
        <v>385</v>
      </c>
      <c r="F6" s="80"/>
      <c r="G6" s="79">
        <v>2</v>
      </c>
      <c r="H6" s="80" t="s">
        <v>442</v>
      </c>
      <c r="I6" s="80" t="s">
        <v>358</v>
      </c>
      <c r="J6" s="80" t="s">
        <v>365</v>
      </c>
      <c r="K6" s="80"/>
      <c r="L6" s="80"/>
      <c r="M6" s="79">
        <v>2</v>
      </c>
      <c r="N6" s="80" t="s">
        <v>337</v>
      </c>
      <c r="O6" s="80" t="s">
        <v>346</v>
      </c>
      <c r="P6" s="80" t="s">
        <v>417</v>
      </c>
      <c r="Q6" s="80" t="s">
        <v>417</v>
      </c>
      <c r="R6" s="80"/>
      <c r="S6" s="79">
        <v>2</v>
      </c>
      <c r="T6" s="80"/>
      <c r="U6" s="80"/>
      <c r="V6" s="80"/>
      <c r="W6" s="80"/>
      <c r="X6" s="80"/>
      <c r="Y6" s="79">
        <v>2</v>
      </c>
      <c r="Z6" s="80"/>
      <c r="AA6" s="80"/>
      <c r="AB6" s="80"/>
      <c r="AC6" s="80"/>
      <c r="AD6" s="80"/>
    </row>
    <row r="7" spans="1:30">
      <c r="A7" s="79">
        <v>3</v>
      </c>
      <c r="B7" s="80" t="s">
        <v>407</v>
      </c>
      <c r="C7" s="80" t="s">
        <v>485</v>
      </c>
      <c r="D7" s="80" t="s">
        <v>363</v>
      </c>
      <c r="E7" s="80"/>
      <c r="F7" s="80"/>
      <c r="G7" s="79">
        <v>3</v>
      </c>
      <c r="H7" s="80" t="s">
        <v>353</v>
      </c>
      <c r="I7" s="80" t="s">
        <v>359</v>
      </c>
      <c r="J7" s="80" t="s">
        <v>357</v>
      </c>
      <c r="K7" s="80"/>
      <c r="L7" s="80"/>
      <c r="M7" s="79">
        <v>3</v>
      </c>
      <c r="N7" s="80" t="s">
        <v>372</v>
      </c>
      <c r="O7" s="80" t="s">
        <v>259</v>
      </c>
      <c r="P7" s="80" t="s">
        <v>340</v>
      </c>
      <c r="Q7" s="80" t="s">
        <v>340</v>
      </c>
      <c r="R7" s="80"/>
      <c r="S7" s="79">
        <v>3</v>
      </c>
      <c r="T7" s="80"/>
      <c r="U7" s="80"/>
      <c r="V7" s="80"/>
      <c r="W7" s="80"/>
      <c r="X7" s="80"/>
      <c r="Y7" s="79">
        <v>3</v>
      </c>
      <c r="Z7" s="80"/>
      <c r="AA7" s="80"/>
      <c r="AB7" s="80"/>
      <c r="AC7" s="80"/>
      <c r="AD7" s="80"/>
    </row>
    <row r="8" spans="1:30">
      <c r="A8" s="79">
        <v>4</v>
      </c>
      <c r="B8" s="80" t="s">
        <v>481</v>
      </c>
      <c r="C8" s="80" t="s">
        <v>402</v>
      </c>
      <c r="D8" s="80" t="s">
        <v>388</v>
      </c>
      <c r="E8" s="80"/>
      <c r="F8" s="80"/>
      <c r="G8" s="79">
        <v>4</v>
      </c>
      <c r="H8" s="80" t="s">
        <v>427</v>
      </c>
      <c r="I8" s="80" t="s">
        <v>418</v>
      </c>
      <c r="J8" s="80" t="s">
        <v>366</v>
      </c>
      <c r="K8" s="80"/>
      <c r="L8" s="80" t="s">
        <v>349</v>
      </c>
      <c r="M8" s="79">
        <v>4</v>
      </c>
      <c r="N8" s="80" t="s">
        <v>394</v>
      </c>
      <c r="O8" s="80" t="s">
        <v>412</v>
      </c>
      <c r="P8" s="80" t="s">
        <v>348</v>
      </c>
      <c r="Q8" s="80"/>
      <c r="R8" s="80"/>
      <c r="S8" s="79">
        <v>4</v>
      </c>
      <c r="T8" s="80"/>
      <c r="U8" s="80"/>
      <c r="V8" s="80"/>
      <c r="W8" s="80"/>
      <c r="X8" s="80"/>
      <c r="Y8" s="79">
        <v>4</v>
      </c>
      <c r="Z8" s="80"/>
      <c r="AA8" s="80"/>
      <c r="AB8" s="80"/>
      <c r="AC8" s="80"/>
      <c r="AD8" s="80"/>
    </row>
    <row r="9" spans="1:30">
      <c r="A9" s="79">
        <v>5</v>
      </c>
      <c r="B9" s="80" t="s">
        <v>380</v>
      </c>
      <c r="C9" s="80" t="s">
        <v>386</v>
      </c>
      <c r="D9" s="80" t="s">
        <v>415</v>
      </c>
      <c r="E9" s="80"/>
      <c r="F9" s="80"/>
      <c r="G9" s="79">
        <v>5</v>
      </c>
      <c r="H9" s="80" t="s">
        <v>406</v>
      </c>
      <c r="I9" s="80" t="s">
        <v>356</v>
      </c>
      <c r="J9" s="80" t="s">
        <v>405</v>
      </c>
      <c r="K9" s="80"/>
      <c r="L9" s="80"/>
      <c r="M9" s="79">
        <v>5</v>
      </c>
      <c r="N9" s="80" t="s">
        <v>413</v>
      </c>
      <c r="O9" s="80" t="s">
        <v>443</v>
      </c>
      <c r="P9" s="80" t="s">
        <v>342</v>
      </c>
      <c r="Q9" s="80"/>
      <c r="R9" s="80"/>
      <c r="S9" s="79">
        <v>5</v>
      </c>
      <c r="T9" s="80"/>
      <c r="U9" s="80"/>
      <c r="V9" s="80"/>
      <c r="W9" s="80"/>
      <c r="X9" s="80"/>
      <c r="Y9" s="79">
        <v>5</v>
      </c>
      <c r="Z9" s="80"/>
      <c r="AA9" s="80"/>
      <c r="AB9" s="80"/>
      <c r="AC9" s="80"/>
      <c r="AD9" s="80"/>
    </row>
    <row r="10" spans="1:30">
      <c r="A10" s="81" t="s">
        <v>335</v>
      </c>
      <c r="B10" s="80" t="s">
        <v>369</v>
      </c>
      <c r="C10" s="80" t="s">
        <v>370</v>
      </c>
      <c r="D10" s="80" t="s">
        <v>376</v>
      </c>
      <c r="E10" s="80"/>
      <c r="F10" s="80"/>
      <c r="G10" s="81" t="s">
        <v>335</v>
      </c>
      <c r="H10" s="80" t="s">
        <v>419</v>
      </c>
      <c r="I10" s="80" t="s">
        <v>387</v>
      </c>
      <c r="J10" s="80" t="s">
        <v>361</v>
      </c>
      <c r="K10" s="80"/>
      <c r="L10" s="80"/>
      <c r="M10" s="81" t="s">
        <v>335</v>
      </c>
      <c r="N10" s="80" t="s">
        <v>381</v>
      </c>
      <c r="O10" s="80" t="s">
        <v>373</v>
      </c>
      <c r="P10" s="80" t="s">
        <v>398</v>
      </c>
      <c r="Q10" s="80"/>
      <c r="R10" s="80"/>
      <c r="S10" s="81" t="s">
        <v>335</v>
      </c>
      <c r="T10" s="80"/>
      <c r="U10" s="80"/>
      <c r="V10" s="80"/>
      <c r="W10" s="80"/>
      <c r="X10" s="80"/>
      <c r="Y10" s="81" t="s">
        <v>335</v>
      </c>
      <c r="Z10" s="80"/>
      <c r="AA10" s="80"/>
      <c r="AB10" s="80"/>
      <c r="AC10" s="80"/>
      <c r="AD10" s="80"/>
    </row>
    <row r="11" spans="1:30">
      <c r="A11" s="79"/>
      <c r="B11" s="118"/>
      <c r="C11" s="118"/>
      <c r="D11" s="118"/>
      <c r="E11" s="80"/>
      <c r="F11" s="80"/>
      <c r="G11" s="79"/>
      <c r="H11" s="80"/>
      <c r="I11" s="80"/>
      <c r="J11" s="80"/>
      <c r="K11" s="80"/>
      <c r="L11" s="80"/>
      <c r="M11" s="79"/>
      <c r="N11" s="80"/>
      <c r="O11" s="80"/>
      <c r="P11" s="80"/>
      <c r="Q11" s="80"/>
      <c r="R11" s="80"/>
    </row>
    <row r="12" spans="1:30">
      <c r="A12" s="79"/>
      <c r="B12" s="118" t="s">
        <v>477</v>
      </c>
      <c r="C12" s="118"/>
      <c r="D12" s="118"/>
      <c r="E12" s="80"/>
      <c r="F12" s="80"/>
      <c r="G12" s="79"/>
      <c r="H12" s="118" t="s">
        <v>290</v>
      </c>
      <c r="I12" s="118"/>
      <c r="J12" s="118"/>
      <c r="K12" s="80"/>
      <c r="L12" s="80"/>
      <c r="M12" s="79"/>
      <c r="N12" s="118" t="s">
        <v>479</v>
      </c>
      <c r="O12" s="118"/>
      <c r="P12" s="118"/>
      <c r="Q12" s="80"/>
      <c r="R12" s="80"/>
      <c r="S12" s="79"/>
      <c r="T12" s="118" t="s">
        <v>244</v>
      </c>
      <c r="U12" s="118"/>
      <c r="V12" s="118"/>
      <c r="Y12" s="79"/>
      <c r="Z12" s="118" t="s">
        <v>479</v>
      </c>
      <c r="AA12" s="118"/>
      <c r="AB12" s="118"/>
    </row>
    <row r="13" spans="1:30">
      <c r="A13" s="79">
        <v>1</v>
      </c>
      <c r="B13" s="80" t="s">
        <v>406</v>
      </c>
      <c r="C13" s="80" t="s">
        <v>485</v>
      </c>
      <c r="D13" s="80" t="s">
        <v>395</v>
      </c>
      <c r="E13" s="80" t="s">
        <v>389</v>
      </c>
      <c r="F13" s="80"/>
      <c r="G13" s="79">
        <v>1</v>
      </c>
      <c r="H13" s="80"/>
      <c r="I13" s="80"/>
      <c r="J13" s="80"/>
      <c r="K13" s="80"/>
      <c r="L13" s="80"/>
      <c r="M13" s="79">
        <v>1</v>
      </c>
      <c r="N13" s="80" t="s">
        <v>337</v>
      </c>
      <c r="O13" s="80" t="s">
        <v>412</v>
      </c>
      <c r="P13" s="80" t="s">
        <v>415</v>
      </c>
      <c r="Q13" s="80"/>
      <c r="R13" s="80"/>
      <c r="S13" s="79">
        <v>1</v>
      </c>
      <c r="T13" s="80"/>
      <c r="U13" s="80"/>
      <c r="V13" s="80"/>
      <c r="Y13" s="79">
        <v>1</v>
      </c>
      <c r="Z13" s="80"/>
      <c r="AA13" s="80"/>
      <c r="AB13" s="80"/>
    </row>
    <row r="14" spans="1:30">
      <c r="A14" s="79">
        <v>2</v>
      </c>
      <c r="B14" s="80" t="s">
        <v>401</v>
      </c>
      <c r="C14" s="80" t="s">
        <v>382</v>
      </c>
      <c r="D14" s="80" t="s">
        <v>422</v>
      </c>
      <c r="E14" s="80" t="s">
        <v>446</v>
      </c>
      <c r="F14" s="80"/>
      <c r="G14" s="79">
        <v>2</v>
      </c>
      <c r="H14" s="80"/>
      <c r="I14" s="80"/>
      <c r="J14" s="80"/>
      <c r="K14" s="80"/>
      <c r="L14" s="80"/>
      <c r="M14" s="79">
        <v>2</v>
      </c>
      <c r="N14" s="80" t="s">
        <v>394</v>
      </c>
      <c r="O14" s="80" t="s">
        <v>390</v>
      </c>
      <c r="P14" s="80" t="s">
        <v>416</v>
      </c>
      <c r="Q14" s="80"/>
      <c r="R14" s="80"/>
      <c r="S14" s="79">
        <v>2</v>
      </c>
      <c r="T14" s="80"/>
      <c r="U14" s="80"/>
      <c r="V14" s="80"/>
      <c r="Y14" s="79">
        <v>2</v>
      </c>
      <c r="Z14" s="80"/>
      <c r="AA14" s="80"/>
      <c r="AB14" s="80"/>
    </row>
    <row r="15" spans="1:30">
      <c r="A15" s="79">
        <v>3</v>
      </c>
      <c r="B15" s="80" t="s">
        <v>481</v>
      </c>
      <c r="C15" s="80" t="s">
        <v>385</v>
      </c>
      <c r="D15" s="80" t="s">
        <v>392</v>
      </c>
      <c r="E15" s="80" t="s">
        <v>385</v>
      </c>
      <c r="F15" s="80"/>
      <c r="G15" s="79">
        <v>3</v>
      </c>
      <c r="H15" s="80"/>
      <c r="I15" s="80"/>
      <c r="J15" s="80"/>
      <c r="K15" s="80"/>
      <c r="L15" s="80"/>
      <c r="M15" s="79">
        <v>3</v>
      </c>
      <c r="N15" s="80" t="s">
        <v>413</v>
      </c>
      <c r="O15" s="80" t="s">
        <v>375</v>
      </c>
      <c r="P15" s="80" t="s">
        <v>444</v>
      </c>
      <c r="Q15" s="80"/>
      <c r="R15" s="80"/>
      <c r="S15" s="79">
        <v>3</v>
      </c>
      <c r="T15" s="80"/>
      <c r="U15" s="80"/>
      <c r="V15" s="80"/>
      <c r="Y15" s="79">
        <v>3</v>
      </c>
      <c r="Z15" s="80"/>
      <c r="AA15" s="80"/>
      <c r="AB15" s="80"/>
    </row>
    <row r="16" spans="1:30">
      <c r="A16" s="79">
        <v>4</v>
      </c>
      <c r="B16" s="80" t="s">
        <v>423</v>
      </c>
      <c r="C16" s="80" t="s">
        <v>441</v>
      </c>
      <c r="D16" s="80" t="s">
        <v>396</v>
      </c>
      <c r="E16" s="80"/>
      <c r="F16" s="80"/>
      <c r="G16" s="79">
        <v>4</v>
      </c>
      <c r="H16" s="80"/>
      <c r="I16" s="80"/>
      <c r="J16" s="80"/>
      <c r="K16" s="80"/>
      <c r="L16" s="80"/>
      <c r="M16" s="79">
        <v>4</v>
      </c>
      <c r="N16" s="80" t="s">
        <v>419</v>
      </c>
      <c r="O16" s="80" t="s">
        <v>373</v>
      </c>
      <c r="P16" s="80" t="s">
        <v>342</v>
      </c>
      <c r="Q16" s="80"/>
      <c r="R16" s="80"/>
      <c r="S16" s="79">
        <v>4</v>
      </c>
      <c r="T16" s="80"/>
      <c r="U16" s="80"/>
      <c r="V16" s="80"/>
      <c r="Y16" s="79">
        <v>4</v>
      </c>
      <c r="Z16" s="80"/>
      <c r="AA16" s="80"/>
      <c r="AB16" s="80"/>
    </row>
    <row r="17" spans="1:28">
      <c r="A17" s="79">
        <v>5</v>
      </c>
      <c r="B17" s="80" t="s">
        <v>380</v>
      </c>
      <c r="C17" s="80" t="s">
        <v>266</v>
      </c>
      <c r="D17" s="80" t="s">
        <v>417</v>
      </c>
      <c r="E17" s="80"/>
      <c r="F17" s="80"/>
      <c r="G17" s="79">
        <v>5</v>
      </c>
      <c r="H17" s="80"/>
      <c r="I17" s="80"/>
      <c r="J17" s="80"/>
      <c r="K17" s="80"/>
      <c r="L17" s="80"/>
      <c r="M17" s="79">
        <v>5</v>
      </c>
      <c r="N17" s="80" t="s">
        <v>353</v>
      </c>
      <c r="O17" s="80" t="s">
        <v>346</v>
      </c>
      <c r="P17" s="80" t="s">
        <v>458</v>
      </c>
      <c r="Q17" s="80"/>
      <c r="R17" s="80"/>
      <c r="S17" s="79">
        <v>5</v>
      </c>
      <c r="T17" s="80"/>
      <c r="U17" s="80"/>
      <c r="V17" s="80"/>
      <c r="Y17" s="79">
        <v>5</v>
      </c>
      <c r="Z17" s="80"/>
      <c r="AA17" s="80"/>
      <c r="AB17" s="80"/>
    </row>
    <row r="18" spans="1:28">
      <c r="A18" s="81" t="s">
        <v>335</v>
      </c>
      <c r="B18" s="80" t="s">
        <v>400</v>
      </c>
      <c r="C18" s="80" t="s">
        <v>269</v>
      </c>
      <c r="D18" s="80" t="s">
        <v>343</v>
      </c>
      <c r="E18" s="80"/>
      <c r="F18" s="80"/>
      <c r="G18" s="81"/>
      <c r="H18" s="80"/>
      <c r="I18" s="80"/>
      <c r="J18" s="80"/>
      <c r="K18" s="80"/>
      <c r="L18" s="80"/>
      <c r="M18" s="81" t="s">
        <v>335</v>
      </c>
      <c r="N18" s="80" t="s">
        <v>367</v>
      </c>
      <c r="O18" s="80" t="s">
        <v>360</v>
      </c>
      <c r="P18" s="80" t="s">
        <v>361</v>
      </c>
      <c r="Q18" s="80"/>
      <c r="R18" s="80"/>
      <c r="S18" s="81" t="s">
        <v>335</v>
      </c>
      <c r="T18" s="80"/>
      <c r="U18" s="80"/>
      <c r="V18" s="80"/>
      <c r="Y18" s="81" t="s">
        <v>335</v>
      </c>
      <c r="Z18" s="80"/>
      <c r="AA18" s="80"/>
      <c r="AB18" s="80"/>
    </row>
    <row r="19" spans="1:28">
      <c r="A19" s="79"/>
      <c r="B19" s="118"/>
      <c r="C19" s="118"/>
      <c r="D19" s="118"/>
      <c r="E19" s="80"/>
      <c r="F19" s="80"/>
      <c r="G19" s="79"/>
      <c r="H19" s="80"/>
      <c r="I19" s="80"/>
      <c r="J19" s="80"/>
      <c r="K19" s="80"/>
      <c r="L19" s="80"/>
      <c r="M19" s="79"/>
      <c r="N19" s="80"/>
      <c r="O19" s="80"/>
      <c r="P19" s="80"/>
      <c r="Q19" s="80"/>
      <c r="R19" s="80"/>
    </row>
    <row r="20" spans="1:28">
      <c r="A20" s="79"/>
      <c r="B20" s="118" t="s">
        <v>282</v>
      </c>
      <c r="C20" s="118"/>
      <c r="D20" s="118"/>
      <c r="E20" s="80"/>
      <c r="F20" s="80"/>
      <c r="G20" s="79"/>
      <c r="H20" s="118" t="s">
        <v>487</v>
      </c>
      <c r="I20" s="118"/>
      <c r="J20" s="118"/>
      <c r="K20" s="80"/>
      <c r="L20" s="80"/>
      <c r="M20" s="79"/>
      <c r="N20" s="118" t="s">
        <v>282</v>
      </c>
      <c r="O20" s="118"/>
      <c r="P20" s="118"/>
      <c r="Q20" s="80"/>
      <c r="R20" s="80"/>
      <c r="S20" s="79"/>
      <c r="T20" s="118" t="s">
        <v>282</v>
      </c>
      <c r="U20" s="118"/>
      <c r="V20" s="118"/>
      <c r="Y20" s="79"/>
      <c r="Z20" s="118" t="s">
        <v>282</v>
      </c>
      <c r="AA20" s="118"/>
      <c r="AB20" s="118"/>
    </row>
    <row r="21" spans="1:28">
      <c r="A21" s="79">
        <v>1</v>
      </c>
      <c r="B21" s="80" t="s">
        <v>423</v>
      </c>
      <c r="C21" s="80" t="s">
        <v>384</v>
      </c>
      <c r="D21" s="80" t="s">
        <v>389</v>
      </c>
      <c r="E21" s="80"/>
      <c r="F21" s="80"/>
      <c r="G21" s="79">
        <v>1</v>
      </c>
      <c r="H21" s="80" t="s">
        <v>400</v>
      </c>
      <c r="I21" s="80" t="s">
        <v>359</v>
      </c>
      <c r="J21" s="80" t="s">
        <v>270</v>
      </c>
      <c r="K21" s="80"/>
      <c r="L21" s="80"/>
      <c r="M21" s="79">
        <v>1</v>
      </c>
      <c r="N21" s="80" t="s">
        <v>469</v>
      </c>
      <c r="O21" s="80" t="s">
        <v>411</v>
      </c>
      <c r="P21" s="80" t="s">
        <v>340</v>
      </c>
      <c r="Q21" s="80" t="s">
        <v>340</v>
      </c>
      <c r="R21" s="80"/>
      <c r="S21" s="79">
        <v>1</v>
      </c>
      <c r="T21" s="80" t="s">
        <v>337</v>
      </c>
      <c r="U21" s="80" t="s">
        <v>412</v>
      </c>
      <c r="V21" s="80" t="s">
        <v>415</v>
      </c>
      <c r="Y21" s="79">
        <v>1</v>
      </c>
      <c r="Z21" s="80"/>
      <c r="AA21" s="80"/>
      <c r="AB21" s="80"/>
    </row>
    <row r="22" spans="1:28">
      <c r="A22" s="79">
        <v>2</v>
      </c>
      <c r="B22" s="80" t="s">
        <v>378</v>
      </c>
      <c r="C22" s="80" t="s">
        <v>390</v>
      </c>
      <c r="D22" s="80" t="s">
        <v>383</v>
      </c>
      <c r="E22" s="80"/>
      <c r="F22" s="80"/>
      <c r="G22" s="79">
        <v>2</v>
      </c>
      <c r="H22" s="80" t="s">
        <v>398</v>
      </c>
      <c r="I22" s="80" t="s">
        <v>356</v>
      </c>
      <c r="J22" s="80" t="s">
        <v>416</v>
      </c>
      <c r="K22" s="80"/>
      <c r="L22" s="80"/>
      <c r="M22" s="79">
        <v>2</v>
      </c>
      <c r="N22" s="80" t="s">
        <v>338</v>
      </c>
      <c r="O22" s="80" t="s">
        <v>371</v>
      </c>
      <c r="P22" s="80" t="s">
        <v>348</v>
      </c>
      <c r="Q22" s="80"/>
      <c r="R22" s="80"/>
      <c r="S22" s="79">
        <v>2</v>
      </c>
      <c r="T22" s="80" t="s">
        <v>394</v>
      </c>
      <c r="U22" s="80" t="s">
        <v>390</v>
      </c>
      <c r="V22" s="80" t="s">
        <v>416</v>
      </c>
      <c r="Y22" s="79">
        <v>2</v>
      </c>
      <c r="Z22" s="80"/>
      <c r="AA22" s="80"/>
      <c r="AB22" s="80"/>
    </row>
    <row r="23" spans="1:28">
      <c r="A23" s="79">
        <v>3</v>
      </c>
      <c r="B23" s="80" t="s">
        <v>380</v>
      </c>
      <c r="C23" s="80" t="s">
        <v>485</v>
      </c>
      <c r="D23" s="80" t="s">
        <v>392</v>
      </c>
      <c r="E23" s="80"/>
      <c r="F23" s="80"/>
      <c r="G23" s="79">
        <v>3</v>
      </c>
      <c r="H23" s="80" t="s">
        <v>406</v>
      </c>
      <c r="I23" s="80" t="s">
        <v>410</v>
      </c>
      <c r="J23" s="80" t="s">
        <v>415</v>
      </c>
      <c r="K23" s="80"/>
      <c r="L23" s="80"/>
      <c r="M23" s="79">
        <v>3</v>
      </c>
      <c r="N23" s="80" t="s">
        <v>336</v>
      </c>
      <c r="O23" s="80" t="s">
        <v>414</v>
      </c>
      <c r="P23" s="80" t="s">
        <v>342</v>
      </c>
      <c r="Q23" s="80"/>
      <c r="R23" s="80"/>
      <c r="S23" s="79">
        <v>3</v>
      </c>
      <c r="T23" s="80" t="s">
        <v>413</v>
      </c>
      <c r="U23" s="80" t="s">
        <v>375</v>
      </c>
      <c r="V23" s="80" t="s">
        <v>444</v>
      </c>
      <c r="Y23" s="79">
        <v>3</v>
      </c>
      <c r="Z23" s="80"/>
      <c r="AA23" s="80"/>
      <c r="AB23" s="80"/>
    </row>
    <row r="24" spans="1:28">
      <c r="A24" s="79">
        <v>4</v>
      </c>
      <c r="B24" s="80" t="s">
        <v>381</v>
      </c>
      <c r="C24" s="80" t="s">
        <v>441</v>
      </c>
      <c r="D24" s="80" t="s">
        <v>388</v>
      </c>
      <c r="E24" s="80"/>
      <c r="F24" s="80"/>
      <c r="G24" s="79">
        <v>4</v>
      </c>
      <c r="H24" s="80" t="s">
        <v>427</v>
      </c>
      <c r="I24" s="80" t="s">
        <v>402</v>
      </c>
      <c r="J24" s="80" t="s">
        <v>417</v>
      </c>
      <c r="K24" s="80" t="s">
        <v>374</v>
      </c>
      <c r="L24" s="80"/>
      <c r="M24" s="79">
        <v>4</v>
      </c>
      <c r="N24" s="80" t="s">
        <v>394</v>
      </c>
      <c r="O24" s="80" t="s">
        <v>346</v>
      </c>
      <c r="P24" s="80" t="s">
        <v>458</v>
      </c>
      <c r="Q24" s="80"/>
      <c r="R24" s="80"/>
      <c r="S24" s="79">
        <v>4</v>
      </c>
      <c r="T24" s="80" t="s">
        <v>419</v>
      </c>
      <c r="U24" s="80" t="s">
        <v>373</v>
      </c>
      <c r="V24" s="80" t="s">
        <v>342</v>
      </c>
      <c r="Y24" s="79">
        <v>4</v>
      </c>
      <c r="Z24" s="80"/>
      <c r="AA24" s="80"/>
      <c r="AB24" s="80"/>
    </row>
    <row r="25" spans="1:28">
      <c r="A25" s="79">
        <v>5</v>
      </c>
      <c r="B25" s="80" t="s">
        <v>379</v>
      </c>
      <c r="C25" s="80" t="s">
        <v>266</v>
      </c>
      <c r="D25" s="80" t="s">
        <v>403</v>
      </c>
      <c r="E25" s="80" t="s">
        <v>403</v>
      </c>
      <c r="F25" s="80"/>
      <c r="G25" s="79">
        <v>5</v>
      </c>
      <c r="H25" s="80" t="s">
        <v>413</v>
      </c>
      <c r="I25" s="80" t="s">
        <v>363</v>
      </c>
      <c r="J25" s="80" t="s">
        <v>366</v>
      </c>
      <c r="K25" s="80" t="s">
        <v>363</v>
      </c>
      <c r="L25" s="80"/>
      <c r="M25" s="79">
        <v>5</v>
      </c>
      <c r="N25" s="80" t="s">
        <v>353</v>
      </c>
      <c r="O25" s="80" t="s">
        <v>373</v>
      </c>
      <c r="P25" s="80" t="s">
        <v>372</v>
      </c>
      <c r="Q25" s="80"/>
      <c r="R25" s="80"/>
      <c r="S25" s="79">
        <v>5</v>
      </c>
      <c r="T25" s="80" t="s">
        <v>353</v>
      </c>
      <c r="U25" s="80" t="s">
        <v>346</v>
      </c>
      <c r="V25" s="80" t="s">
        <v>458</v>
      </c>
      <c r="Y25" s="79">
        <v>5</v>
      </c>
      <c r="Z25" s="80"/>
      <c r="AA25" s="80"/>
      <c r="AB25" s="80"/>
    </row>
    <row r="26" spans="1:28">
      <c r="A26" s="81" t="s">
        <v>335</v>
      </c>
      <c r="B26" s="80" t="s">
        <v>369</v>
      </c>
      <c r="C26" s="80" t="s">
        <v>370</v>
      </c>
      <c r="D26" s="80" t="s">
        <v>376</v>
      </c>
      <c r="E26" s="80"/>
      <c r="F26" s="80"/>
      <c r="G26" s="81" t="s">
        <v>335</v>
      </c>
      <c r="H26" s="80" t="s">
        <v>401</v>
      </c>
      <c r="I26" s="80" t="s">
        <v>387</v>
      </c>
      <c r="J26" s="80" t="s">
        <v>357</v>
      </c>
      <c r="K26" s="80"/>
      <c r="L26" s="80"/>
      <c r="M26" s="81" t="s">
        <v>335</v>
      </c>
      <c r="N26" s="80" t="s">
        <v>368</v>
      </c>
      <c r="O26" s="80" t="s">
        <v>468</v>
      </c>
      <c r="P26" s="80" t="s">
        <v>261</v>
      </c>
      <c r="Q26" s="80"/>
      <c r="R26" s="80"/>
      <c r="S26" s="81" t="s">
        <v>335</v>
      </c>
      <c r="T26" s="80" t="s">
        <v>367</v>
      </c>
      <c r="U26" s="80" t="s">
        <v>360</v>
      </c>
      <c r="V26" s="80" t="s">
        <v>361</v>
      </c>
      <c r="Y26" s="81" t="s">
        <v>335</v>
      </c>
      <c r="Z26" s="80"/>
      <c r="AA26" s="80"/>
      <c r="AB26" s="80"/>
    </row>
    <row r="28" spans="1:28">
      <c r="C28" s="80"/>
    </row>
    <row r="29" spans="1:28">
      <c r="A29" s="79"/>
      <c r="B29" s="118" t="s">
        <v>277</v>
      </c>
      <c r="C29" s="118"/>
      <c r="D29" s="118"/>
      <c r="E29" s="79"/>
      <c r="F29" s="79"/>
      <c r="G29" s="79"/>
      <c r="H29" s="140" t="s">
        <v>277</v>
      </c>
      <c r="I29" s="140"/>
      <c r="J29" s="140"/>
      <c r="K29" s="79"/>
      <c r="L29" s="79"/>
      <c r="M29" s="79"/>
      <c r="N29" s="118" t="s">
        <v>277</v>
      </c>
      <c r="O29" s="118"/>
      <c r="P29" s="118"/>
      <c r="Q29" s="79"/>
      <c r="R29" s="80"/>
      <c r="S29" s="79"/>
      <c r="T29" s="80" t="s">
        <v>277</v>
      </c>
      <c r="U29" s="80"/>
      <c r="V29" s="80"/>
      <c r="Y29" s="79"/>
      <c r="Z29" s="80" t="s">
        <v>277</v>
      </c>
      <c r="AA29" s="80"/>
      <c r="AB29" s="80"/>
    </row>
    <row r="30" spans="1:28">
      <c r="A30" s="79"/>
      <c r="B30" s="80" t="s">
        <v>334</v>
      </c>
      <c r="C30" s="80" t="s">
        <v>267</v>
      </c>
      <c r="D30" s="80" t="s">
        <v>274</v>
      </c>
      <c r="E30" s="79"/>
      <c r="F30" s="79"/>
      <c r="G30" s="79"/>
      <c r="H30" s="80" t="s">
        <v>334</v>
      </c>
      <c r="I30" s="80" t="s">
        <v>267</v>
      </c>
      <c r="J30" s="80" t="s">
        <v>274</v>
      </c>
      <c r="K30" s="79"/>
      <c r="L30" s="80"/>
      <c r="M30" s="79"/>
      <c r="N30" s="80" t="s">
        <v>334</v>
      </c>
      <c r="O30" s="80" t="s">
        <v>267</v>
      </c>
      <c r="P30" s="80" t="s">
        <v>274</v>
      </c>
      <c r="Q30" s="79"/>
      <c r="R30" s="80"/>
      <c r="S30" s="79"/>
      <c r="T30" s="80" t="s">
        <v>334</v>
      </c>
      <c r="U30" s="80" t="s">
        <v>267</v>
      </c>
      <c r="V30" s="80" t="s">
        <v>274</v>
      </c>
      <c r="Y30" s="79"/>
      <c r="Z30" s="80" t="s">
        <v>334</v>
      </c>
      <c r="AA30" s="80" t="s">
        <v>267</v>
      </c>
      <c r="AB30" s="80" t="s">
        <v>274</v>
      </c>
    </row>
    <row r="31" spans="1:28">
      <c r="A31" s="79">
        <v>1</v>
      </c>
      <c r="B31" s="80" t="s">
        <v>336</v>
      </c>
      <c r="C31" s="80" t="s">
        <v>448</v>
      </c>
      <c r="D31" s="80" t="s">
        <v>343</v>
      </c>
      <c r="E31" s="79"/>
      <c r="F31" s="79"/>
      <c r="G31" s="79">
        <v>1</v>
      </c>
      <c r="H31" s="80" t="s">
        <v>398</v>
      </c>
      <c r="I31" s="80" t="s">
        <v>356</v>
      </c>
      <c r="J31" s="80" t="s">
        <v>365</v>
      </c>
      <c r="K31" s="79"/>
      <c r="L31" s="80"/>
      <c r="M31" s="79">
        <v>1</v>
      </c>
      <c r="N31" s="80" t="s">
        <v>377</v>
      </c>
      <c r="O31" s="80" t="s">
        <v>382</v>
      </c>
      <c r="P31" s="80" t="s">
        <v>383</v>
      </c>
      <c r="Q31" s="79"/>
      <c r="R31" s="80"/>
      <c r="S31" s="79">
        <v>1</v>
      </c>
      <c r="T31" s="80" t="s">
        <v>406</v>
      </c>
      <c r="U31" s="80" t="s">
        <v>411</v>
      </c>
      <c r="V31" s="80" t="s">
        <v>363</v>
      </c>
      <c r="Y31" s="79">
        <v>1</v>
      </c>
      <c r="Z31" s="80" t="s">
        <v>406</v>
      </c>
      <c r="AA31" s="80" t="s">
        <v>411</v>
      </c>
      <c r="AB31" s="80" t="s">
        <v>363</v>
      </c>
    </row>
    <row r="32" spans="1:28">
      <c r="A32" s="79">
        <v>2</v>
      </c>
      <c r="B32" s="80" t="s">
        <v>337</v>
      </c>
      <c r="C32" s="80" t="s">
        <v>375</v>
      </c>
      <c r="D32" s="80" t="s">
        <v>345</v>
      </c>
      <c r="E32" s="79"/>
      <c r="F32" s="79"/>
      <c r="G32" s="79">
        <v>2</v>
      </c>
      <c r="H32" s="80" t="s">
        <v>351</v>
      </c>
      <c r="I32" s="80" t="s">
        <v>358</v>
      </c>
      <c r="J32" s="80" t="s">
        <v>364</v>
      </c>
      <c r="K32" s="79"/>
      <c r="L32" s="80"/>
      <c r="M32" s="79">
        <v>2</v>
      </c>
      <c r="N32" s="80" t="s">
        <v>378</v>
      </c>
      <c r="O32" s="80" t="s">
        <v>384</v>
      </c>
      <c r="P32" s="80" t="s">
        <v>395</v>
      </c>
      <c r="Q32" s="79"/>
      <c r="R32" s="80"/>
      <c r="S32" s="79">
        <v>2</v>
      </c>
      <c r="T32" s="80" t="s">
        <v>413</v>
      </c>
      <c r="U32" s="80" t="s">
        <v>412</v>
      </c>
      <c r="V32" s="80" t="s">
        <v>444</v>
      </c>
      <c r="Y32" s="79">
        <v>2</v>
      </c>
      <c r="Z32" s="80" t="s">
        <v>413</v>
      </c>
      <c r="AA32" s="80" t="s">
        <v>412</v>
      </c>
      <c r="AB32" s="80" t="s">
        <v>444</v>
      </c>
    </row>
    <row r="33" spans="1:29">
      <c r="A33" s="79">
        <v>3</v>
      </c>
      <c r="B33" s="80" t="s">
        <v>338</v>
      </c>
      <c r="C33" s="80" t="s">
        <v>473</v>
      </c>
      <c r="D33" s="80" t="s">
        <v>348</v>
      </c>
      <c r="E33" s="79"/>
      <c r="F33" s="79"/>
      <c r="G33" s="79">
        <v>3</v>
      </c>
      <c r="H33" s="80" t="s">
        <v>399</v>
      </c>
      <c r="I33" s="80" t="s">
        <v>359</v>
      </c>
      <c r="J33" s="80" t="s">
        <v>404</v>
      </c>
      <c r="K33" s="79"/>
      <c r="L33" s="80"/>
      <c r="M33" s="79">
        <v>3</v>
      </c>
      <c r="N33" s="80" t="s">
        <v>379</v>
      </c>
      <c r="O33" s="80" t="s">
        <v>485</v>
      </c>
      <c r="P33" s="80" t="s">
        <v>388</v>
      </c>
      <c r="Q33" s="79"/>
      <c r="R33" s="80"/>
      <c r="S33" s="79">
        <v>3</v>
      </c>
      <c r="T33" s="80" t="s">
        <v>394</v>
      </c>
      <c r="U33" s="80" t="s">
        <v>414</v>
      </c>
      <c r="V33" s="80" t="s">
        <v>366</v>
      </c>
      <c r="Y33" s="79">
        <v>3</v>
      </c>
      <c r="Z33" s="80" t="s">
        <v>394</v>
      </c>
      <c r="AA33" s="80" t="s">
        <v>414</v>
      </c>
      <c r="AB33" s="80" t="s">
        <v>366</v>
      </c>
    </row>
    <row r="34" spans="1:29">
      <c r="A34" s="79">
        <v>4</v>
      </c>
      <c r="B34" s="80" t="s">
        <v>339</v>
      </c>
      <c r="C34" s="80" t="s">
        <v>346</v>
      </c>
      <c r="D34" s="80" t="s">
        <v>349</v>
      </c>
      <c r="E34" s="79"/>
      <c r="F34" s="79"/>
      <c r="G34" s="79">
        <v>4</v>
      </c>
      <c r="H34" s="80" t="s">
        <v>442</v>
      </c>
      <c r="I34" s="80" t="s">
        <v>410</v>
      </c>
      <c r="J34" s="80" t="s">
        <v>374</v>
      </c>
      <c r="K34" s="79"/>
      <c r="L34" s="80"/>
      <c r="M34" s="79">
        <v>4</v>
      </c>
      <c r="N34" s="80" t="s">
        <v>380</v>
      </c>
      <c r="O34" s="80" t="s">
        <v>385</v>
      </c>
      <c r="P34" s="80" t="s">
        <v>417</v>
      </c>
      <c r="Q34" s="79"/>
      <c r="R34" s="80"/>
      <c r="S34" s="79">
        <v>4</v>
      </c>
      <c r="T34" s="80" t="s">
        <v>409</v>
      </c>
      <c r="U34" s="80" t="s">
        <v>443</v>
      </c>
      <c r="V34" s="80" t="s">
        <v>415</v>
      </c>
      <c r="Y34" s="79">
        <v>4</v>
      </c>
      <c r="Z34" s="80" t="s">
        <v>409</v>
      </c>
      <c r="AA34" s="80" t="s">
        <v>443</v>
      </c>
      <c r="AB34" s="80" t="s">
        <v>415</v>
      </c>
    </row>
    <row r="35" spans="1:29">
      <c r="A35" s="79">
        <v>5</v>
      </c>
      <c r="B35" s="80" t="s">
        <v>340</v>
      </c>
      <c r="C35" s="80" t="s">
        <v>347</v>
      </c>
      <c r="D35" s="80" t="s">
        <v>342</v>
      </c>
      <c r="E35" s="79"/>
      <c r="F35" s="79"/>
      <c r="G35" s="79">
        <v>5</v>
      </c>
      <c r="H35" s="80" t="s">
        <v>400</v>
      </c>
      <c r="I35" s="80" t="s">
        <v>402</v>
      </c>
      <c r="J35" s="80" t="s">
        <v>403</v>
      </c>
      <c r="K35" s="79"/>
      <c r="L35" s="80"/>
      <c r="M35" s="79">
        <v>5</v>
      </c>
      <c r="N35" s="80" t="s">
        <v>381</v>
      </c>
      <c r="O35" s="80" t="s">
        <v>386</v>
      </c>
      <c r="P35" s="80" t="s">
        <v>389</v>
      </c>
      <c r="Q35" s="79"/>
      <c r="R35" s="80"/>
      <c r="S35" s="79">
        <v>5</v>
      </c>
      <c r="T35" s="80" t="s">
        <v>353</v>
      </c>
      <c r="U35" s="80" t="s">
        <v>390</v>
      </c>
      <c r="V35" s="80" t="s">
        <v>416</v>
      </c>
      <c r="Y35" s="79">
        <v>5</v>
      </c>
      <c r="Z35" s="80" t="s">
        <v>353</v>
      </c>
      <c r="AA35" s="80" t="s">
        <v>390</v>
      </c>
      <c r="AB35" s="80" t="s">
        <v>416</v>
      </c>
    </row>
    <row r="36" spans="1:29">
      <c r="A36" s="81" t="s">
        <v>335</v>
      </c>
      <c r="B36" s="80" t="s">
        <v>369</v>
      </c>
      <c r="C36" s="80" t="s">
        <v>370</v>
      </c>
      <c r="D36" s="80" t="s">
        <v>376</v>
      </c>
      <c r="E36" s="79"/>
      <c r="F36" s="81"/>
      <c r="G36" s="81" t="s">
        <v>335</v>
      </c>
      <c r="H36" s="80" t="s">
        <v>368</v>
      </c>
      <c r="I36" s="80" t="s">
        <v>362</v>
      </c>
      <c r="J36" s="80" t="s">
        <v>357</v>
      </c>
      <c r="K36" s="81"/>
      <c r="L36" s="80"/>
      <c r="M36" s="81" t="s">
        <v>335</v>
      </c>
      <c r="N36" s="80" t="s">
        <v>397</v>
      </c>
      <c r="O36" s="80" t="s">
        <v>387</v>
      </c>
      <c r="P36" s="80" t="s">
        <v>458</v>
      </c>
      <c r="Q36" s="81"/>
      <c r="R36" s="80"/>
      <c r="S36" s="81" t="s">
        <v>335</v>
      </c>
      <c r="T36" s="80" t="s">
        <v>419</v>
      </c>
      <c r="U36" s="80" t="s">
        <v>373</v>
      </c>
      <c r="V36" s="80" t="s">
        <v>418</v>
      </c>
      <c r="Y36" s="81" t="s">
        <v>335</v>
      </c>
      <c r="Z36" s="80" t="s">
        <v>419</v>
      </c>
      <c r="AA36" s="80" t="s">
        <v>373</v>
      </c>
      <c r="AB36" s="80" t="s">
        <v>418</v>
      </c>
    </row>
    <row r="37" spans="1:29">
      <c r="A37" s="79"/>
      <c r="B37" s="80"/>
      <c r="C37" s="80"/>
      <c r="D37" s="80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</row>
    <row r="38" spans="1:29">
      <c r="A38" s="79"/>
      <c r="B38" s="80"/>
      <c r="C38" s="80"/>
      <c r="D38" s="80"/>
      <c r="E38" s="79"/>
      <c r="F38" s="79"/>
      <c r="G38" s="79"/>
      <c r="H38" s="79"/>
      <c r="I38" s="79"/>
      <c r="J38" s="118"/>
      <c r="K38" s="118"/>
      <c r="L38" s="118"/>
      <c r="M38" s="79"/>
      <c r="N38" s="79"/>
      <c r="O38" s="79"/>
      <c r="P38" s="79"/>
      <c r="Q38" s="79"/>
      <c r="R38" s="79"/>
      <c r="S38" s="79"/>
      <c r="T38" s="79"/>
    </row>
    <row r="39" spans="1:29">
      <c r="A39" s="79"/>
      <c r="B39" s="118" t="s">
        <v>263</v>
      </c>
      <c r="C39" s="118"/>
      <c r="D39" s="118"/>
      <c r="E39" s="79"/>
      <c r="F39" s="79"/>
      <c r="G39" s="118"/>
      <c r="H39" s="118"/>
      <c r="I39" s="118"/>
      <c r="J39" s="79"/>
      <c r="K39" s="79"/>
      <c r="L39" s="118"/>
      <c r="M39" s="118"/>
      <c r="N39" s="118"/>
      <c r="O39" s="79"/>
      <c r="P39" s="79"/>
      <c r="Q39" s="118"/>
      <c r="R39" s="118"/>
      <c r="S39" s="118"/>
      <c r="T39" s="79"/>
    </row>
    <row r="40" spans="1:29">
      <c r="A40" s="79"/>
      <c r="B40" s="80" t="s">
        <v>334</v>
      </c>
      <c r="C40" s="80" t="s">
        <v>267</v>
      </c>
      <c r="D40" s="80" t="s">
        <v>274</v>
      </c>
      <c r="E40" s="79"/>
      <c r="F40" s="79"/>
      <c r="G40" s="79"/>
      <c r="H40" s="80" t="s">
        <v>334</v>
      </c>
      <c r="I40" s="80" t="s">
        <v>267</v>
      </c>
      <c r="J40" s="80" t="s">
        <v>274</v>
      </c>
      <c r="K40" s="79"/>
      <c r="L40" s="80"/>
      <c r="M40" s="79"/>
      <c r="N40" s="80" t="s">
        <v>334</v>
      </c>
      <c r="O40" s="80" t="s">
        <v>267</v>
      </c>
      <c r="P40" s="80" t="s">
        <v>274</v>
      </c>
      <c r="Q40" s="80"/>
      <c r="R40" s="80"/>
      <c r="S40" s="79"/>
      <c r="T40" s="80" t="s">
        <v>334</v>
      </c>
      <c r="U40" s="80" t="s">
        <v>267</v>
      </c>
      <c r="V40" s="80" t="s">
        <v>274</v>
      </c>
      <c r="W40" s="79"/>
      <c r="Y40" s="79"/>
      <c r="Z40" s="80" t="s">
        <v>334</v>
      </c>
      <c r="AA40" s="80" t="s">
        <v>267</v>
      </c>
      <c r="AB40" s="80" t="s">
        <v>274</v>
      </c>
      <c r="AC40" s="79"/>
    </row>
    <row r="41" spans="1:29">
      <c r="A41" s="79">
        <v>1</v>
      </c>
      <c r="B41" s="80" t="s">
        <v>336</v>
      </c>
      <c r="C41" s="80" t="s">
        <v>371</v>
      </c>
      <c r="D41" s="80" t="s">
        <v>340</v>
      </c>
      <c r="E41" s="79"/>
      <c r="F41" s="79"/>
      <c r="G41" s="79">
        <v>1</v>
      </c>
      <c r="H41" s="80" t="s">
        <v>350</v>
      </c>
      <c r="I41" s="80" t="s">
        <v>356</v>
      </c>
      <c r="J41" s="80" t="s">
        <v>357</v>
      </c>
      <c r="K41" s="79"/>
      <c r="L41" s="80"/>
      <c r="M41" s="79">
        <v>1</v>
      </c>
      <c r="N41" s="80" t="s">
        <v>391</v>
      </c>
      <c r="O41" s="80" t="s">
        <v>446</v>
      </c>
      <c r="P41" s="80" t="s">
        <v>396</v>
      </c>
      <c r="Q41" s="80"/>
      <c r="R41" s="80"/>
      <c r="S41" s="79">
        <v>1</v>
      </c>
      <c r="T41" s="80" t="s">
        <v>394</v>
      </c>
      <c r="U41" s="80" t="s">
        <v>421</v>
      </c>
      <c r="V41" s="80" t="s">
        <v>422</v>
      </c>
      <c r="W41" s="79"/>
      <c r="Y41" s="79">
        <v>1</v>
      </c>
      <c r="Z41" s="80" t="s">
        <v>394</v>
      </c>
      <c r="AA41" s="80" t="s">
        <v>421</v>
      </c>
      <c r="AB41" s="80" t="s">
        <v>422</v>
      </c>
      <c r="AC41" s="79"/>
    </row>
    <row r="42" spans="1:29">
      <c r="A42" s="79">
        <v>2</v>
      </c>
      <c r="B42" s="80" t="s">
        <v>337</v>
      </c>
      <c r="C42" s="80" t="s">
        <v>269</v>
      </c>
      <c r="D42" s="80" t="s">
        <v>458</v>
      </c>
      <c r="E42" s="79"/>
      <c r="F42" s="79"/>
      <c r="G42" s="79">
        <v>2</v>
      </c>
      <c r="H42" s="80" t="s">
        <v>351</v>
      </c>
      <c r="I42" s="80" t="s">
        <v>358</v>
      </c>
      <c r="J42" s="80" t="s">
        <v>366</v>
      </c>
      <c r="K42" s="79"/>
      <c r="L42" s="80"/>
      <c r="M42" s="79">
        <v>2</v>
      </c>
      <c r="N42" s="80" t="s">
        <v>380</v>
      </c>
      <c r="O42" s="80" t="s">
        <v>384</v>
      </c>
      <c r="P42" s="80" t="s">
        <v>417</v>
      </c>
      <c r="Q42" s="80"/>
      <c r="R42" s="80"/>
      <c r="S42" s="79">
        <v>2</v>
      </c>
      <c r="T42" s="80" t="s">
        <v>413</v>
      </c>
      <c r="U42" s="80" t="s">
        <v>373</v>
      </c>
      <c r="V42" s="80" t="s">
        <v>444</v>
      </c>
      <c r="W42" s="79"/>
      <c r="Y42" s="79">
        <v>2</v>
      </c>
      <c r="Z42" s="80" t="s">
        <v>413</v>
      </c>
      <c r="AA42" s="80" t="s">
        <v>373</v>
      </c>
      <c r="AB42" s="80" t="s">
        <v>444</v>
      </c>
      <c r="AC42" s="79"/>
    </row>
    <row r="43" spans="1:29">
      <c r="A43" s="79">
        <v>3</v>
      </c>
      <c r="B43" s="80" t="s">
        <v>367</v>
      </c>
      <c r="C43" s="80" t="s">
        <v>259</v>
      </c>
      <c r="D43" s="80" t="s">
        <v>348</v>
      </c>
      <c r="E43" s="79"/>
      <c r="F43" s="79"/>
      <c r="G43" s="79">
        <v>3</v>
      </c>
      <c r="H43" s="80" t="s">
        <v>352</v>
      </c>
      <c r="I43" s="80" t="s">
        <v>362</v>
      </c>
      <c r="J43" s="80" t="s">
        <v>365</v>
      </c>
      <c r="K43" s="79"/>
      <c r="L43" s="80"/>
      <c r="M43" s="79">
        <v>3</v>
      </c>
      <c r="N43" s="80" t="s">
        <v>393</v>
      </c>
      <c r="O43" s="80" t="s">
        <v>485</v>
      </c>
      <c r="P43" s="80" t="s">
        <v>388</v>
      </c>
      <c r="Q43" s="80"/>
      <c r="R43" s="80"/>
      <c r="S43" s="79">
        <v>3</v>
      </c>
      <c r="T43" s="80" t="s">
        <v>419</v>
      </c>
      <c r="U43" s="80" t="s">
        <v>392</v>
      </c>
      <c r="V43" s="80" t="s">
        <v>416</v>
      </c>
      <c r="W43" s="79"/>
      <c r="Y43" s="79">
        <v>3</v>
      </c>
      <c r="Z43" s="80" t="s">
        <v>419</v>
      </c>
      <c r="AA43" s="80" t="s">
        <v>392</v>
      </c>
      <c r="AB43" s="80" t="s">
        <v>416</v>
      </c>
      <c r="AC43" s="79"/>
    </row>
    <row r="44" spans="1:29">
      <c r="A44" s="79">
        <v>4</v>
      </c>
      <c r="B44" s="80" t="s">
        <v>339</v>
      </c>
      <c r="C44" s="80" t="s">
        <v>346</v>
      </c>
      <c r="D44" s="80"/>
      <c r="E44" s="79"/>
      <c r="F44" s="79"/>
      <c r="G44" s="79">
        <v>4</v>
      </c>
      <c r="H44" s="80" t="s">
        <v>353</v>
      </c>
      <c r="I44" s="80" t="s">
        <v>359</v>
      </c>
      <c r="J44" s="80" t="s">
        <v>270</v>
      </c>
      <c r="K44" s="79"/>
      <c r="L44" s="80"/>
      <c r="M44" s="79">
        <v>4</v>
      </c>
      <c r="N44" s="80" t="s">
        <v>380</v>
      </c>
      <c r="O44" s="80" t="s">
        <v>363</v>
      </c>
      <c r="P44" s="80" t="s">
        <v>385</v>
      </c>
      <c r="Q44" s="80"/>
      <c r="R44" s="80"/>
      <c r="S44" s="79">
        <v>4</v>
      </c>
      <c r="T44" s="80" t="s">
        <v>401</v>
      </c>
      <c r="U44" s="80" t="s">
        <v>441</v>
      </c>
      <c r="V44" s="80" t="s">
        <v>415</v>
      </c>
      <c r="W44" s="79" t="s">
        <v>445</v>
      </c>
      <c r="Y44" s="79">
        <v>4</v>
      </c>
      <c r="Z44" s="80" t="s">
        <v>401</v>
      </c>
      <c r="AA44" s="80" t="s">
        <v>441</v>
      </c>
      <c r="AB44" s="80" t="s">
        <v>415</v>
      </c>
      <c r="AC44" s="79" t="s">
        <v>445</v>
      </c>
    </row>
    <row r="45" spans="1:29">
      <c r="A45" s="79">
        <v>5</v>
      </c>
      <c r="B45" s="80" t="s">
        <v>372</v>
      </c>
      <c r="C45" s="80" t="s">
        <v>412</v>
      </c>
      <c r="D45" s="80" t="s">
        <v>342</v>
      </c>
      <c r="E45" s="79"/>
      <c r="F45" s="79"/>
      <c r="G45" s="79">
        <v>5</v>
      </c>
      <c r="H45" s="80" t="s">
        <v>354</v>
      </c>
      <c r="I45" s="80" t="s">
        <v>261</v>
      </c>
      <c r="J45" s="80" t="s">
        <v>405</v>
      </c>
      <c r="K45" s="79"/>
      <c r="L45" s="80"/>
      <c r="M45" s="79">
        <v>5</v>
      </c>
      <c r="N45" s="80" t="s">
        <v>407</v>
      </c>
      <c r="O45" s="80" t="s">
        <v>266</v>
      </c>
      <c r="P45" s="80" t="s">
        <v>389</v>
      </c>
      <c r="Q45" s="80"/>
      <c r="R45" s="80"/>
      <c r="S45" s="79">
        <v>5</v>
      </c>
      <c r="T45" s="80" t="s">
        <v>400</v>
      </c>
      <c r="U45" s="80" t="s">
        <v>390</v>
      </c>
      <c r="V45" s="80" t="s">
        <v>383</v>
      </c>
      <c r="W45" s="79"/>
      <c r="Y45" s="79">
        <v>5</v>
      </c>
      <c r="Z45" s="80" t="s">
        <v>400</v>
      </c>
      <c r="AA45" s="80" t="s">
        <v>390</v>
      </c>
      <c r="AB45" s="80" t="s">
        <v>383</v>
      </c>
      <c r="AC45" s="79"/>
    </row>
    <row r="46" spans="1:29">
      <c r="A46" s="81" t="s">
        <v>335</v>
      </c>
      <c r="B46" s="80" t="s">
        <v>369</v>
      </c>
      <c r="C46" s="80" t="s">
        <v>370</v>
      </c>
      <c r="D46" s="80" t="s">
        <v>376</v>
      </c>
      <c r="E46" s="79"/>
      <c r="F46" s="81"/>
      <c r="G46" s="81" t="s">
        <v>335</v>
      </c>
      <c r="H46" s="80" t="s">
        <v>355</v>
      </c>
      <c r="I46" s="80" t="s">
        <v>360</v>
      </c>
      <c r="J46" s="80" t="s">
        <v>361</v>
      </c>
      <c r="K46" s="81"/>
      <c r="L46" s="80"/>
      <c r="M46" s="81" t="s">
        <v>335</v>
      </c>
      <c r="N46" s="80" t="s">
        <v>381</v>
      </c>
      <c r="O46" s="80" t="s">
        <v>387</v>
      </c>
      <c r="P46" s="80" t="s">
        <v>343</v>
      </c>
      <c r="Q46" s="80"/>
      <c r="R46" s="80"/>
      <c r="S46" s="81" t="s">
        <v>335</v>
      </c>
      <c r="T46" s="80" t="s">
        <v>397</v>
      </c>
      <c r="U46" s="80" t="s">
        <v>414</v>
      </c>
      <c r="V46" s="80" t="s">
        <v>426</v>
      </c>
      <c r="W46" s="79"/>
      <c r="Y46" s="81" t="s">
        <v>335</v>
      </c>
      <c r="Z46" s="80" t="s">
        <v>397</v>
      </c>
      <c r="AA46" s="80" t="s">
        <v>414</v>
      </c>
      <c r="AB46" s="80" t="s">
        <v>426</v>
      </c>
      <c r="AC46" s="79"/>
    </row>
  </sheetData>
  <mergeCells count="25">
    <mergeCell ref="N20:P20"/>
    <mergeCell ref="N3:P3"/>
    <mergeCell ref="B11:D11"/>
    <mergeCell ref="B12:D12"/>
    <mergeCell ref="H12:J12"/>
    <mergeCell ref="N12:P12"/>
    <mergeCell ref="B19:D19"/>
    <mergeCell ref="B20:D20"/>
    <mergeCell ref="H20:J20"/>
    <mergeCell ref="B3:D3"/>
    <mergeCell ref="H3:J3"/>
    <mergeCell ref="B29:D29"/>
    <mergeCell ref="B39:D39"/>
    <mergeCell ref="G39:I39"/>
    <mergeCell ref="L39:N39"/>
    <mergeCell ref="Q39:S39"/>
    <mergeCell ref="J38:L38"/>
    <mergeCell ref="N29:P29"/>
    <mergeCell ref="H29:J29"/>
    <mergeCell ref="T20:V20"/>
    <mergeCell ref="Z20:AB20"/>
    <mergeCell ref="T3:V3"/>
    <mergeCell ref="Z3:AB3"/>
    <mergeCell ref="T12:V12"/>
    <mergeCell ref="Z12:AB12"/>
  </mergeCells>
  <phoneticPr fontId="9"/>
  <pageMargins left="0.7" right="0.7" top="0.75" bottom="0.75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80C4-E03B-4D0D-95CE-2CC7BF7687D2}">
  <dimension ref="A2:R25"/>
  <sheetViews>
    <sheetView workbookViewId="0">
      <selection activeCell="E17" sqref="E17"/>
    </sheetView>
  </sheetViews>
  <sheetFormatPr defaultRowHeight="12.75"/>
  <cols>
    <col min="17" max="17" width="10.06640625" bestFit="1" customWidth="1"/>
  </cols>
  <sheetData>
    <row r="2" spans="1:18">
      <c r="A2" s="79"/>
      <c r="B2" s="118" t="s">
        <v>464</v>
      </c>
      <c r="C2" s="118"/>
      <c r="D2" s="118"/>
      <c r="E2" s="79"/>
      <c r="F2" s="79"/>
      <c r="G2" s="79"/>
      <c r="H2" s="118" t="s">
        <v>464</v>
      </c>
      <c r="I2" s="118"/>
      <c r="J2" s="118"/>
      <c r="K2" s="79"/>
      <c r="L2" s="79"/>
      <c r="M2" s="79"/>
      <c r="N2" s="118" t="s">
        <v>464</v>
      </c>
      <c r="O2" s="118"/>
      <c r="P2" s="118"/>
      <c r="Q2" s="79"/>
      <c r="R2" s="79"/>
    </row>
    <row r="3" spans="1:18">
      <c r="A3" s="79"/>
      <c r="B3" s="80" t="s">
        <v>334</v>
      </c>
      <c r="C3" s="80" t="s">
        <v>267</v>
      </c>
      <c r="D3" s="80" t="s">
        <v>274</v>
      </c>
      <c r="E3" s="80" t="s">
        <v>436</v>
      </c>
      <c r="F3" s="80" t="s">
        <v>437</v>
      </c>
      <c r="G3" s="79"/>
      <c r="H3" s="80" t="s">
        <v>334</v>
      </c>
      <c r="I3" s="80" t="s">
        <v>267</v>
      </c>
      <c r="J3" s="80" t="s">
        <v>274</v>
      </c>
      <c r="K3" s="80" t="s">
        <v>436</v>
      </c>
      <c r="L3" s="80" t="s">
        <v>437</v>
      </c>
      <c r="M3" s="79"/>
      <c r="N3" s="80" t="s">
        <v>334</v>
      </c>
      <c r="O3" s="80" t="s">
        <v>267</v>
      </c>
      <c r="P3" s="80" t="s">
        <v>274</v>
      </c>
      <c r="Q3" s="80" t="s">
        <v>436</v>
      </c>
      <c r="R3" s="80" t="s">
        <v>437</v>
      </c>
    </row>
    <row r="4" spans="1:18">
      <c r="A4" s="79">
        <v>1</v>
      </c>
      <c r="B4" s="80" t="s">
        <v>400</v>
      </c>
      <c r="C4" s="80" t="s">
        <v>384</v>
      </c>
      <c r="D4" s="80" t="s">
        <v>416</v>
      </c>
      <c r="E4" s="80"/>
      <c r="F4" s="80"/>
      <c r="G4" s="79">
        <v>1</v>
      </c>
      <c r="H4" s="80" t="s">
        <v>409</v>
      </c>
      <c r="I4" s="80" t="s">
        <v>362</v>
      </c>
      <c r="J4" s="80" t="s">
        <v>404</v>
      </c>
      <c r="K4" s="80" t="s">
        <v>404</v>
      </c>
      <c r="L4" s="80"/>
      <c r="M4" s="79">
        <v>1</v>
      </c>
      <c r="N4" s="80" t="s">
        <v>336</v>
      </c>
      <c r="O4" s="80" t="s">
        <v>269</v>
      </c>
      <c r="P4" s="80" t="s">
        <v>372</v>
      </c>
      <c r="Q4" s="80"/>
      <c r="R4" s="80"/>
    </row>
    <row r="5" spans="1:18">
      <c r="A5" s="79">
        <v>2</v>
      </c>
      <c r="B5" s="80" t="s">
        <v>378</v>
      </c>
      <c r="C5" s="80" t="s">
        <v>385</v>
      </c>
      <c r="D5" s="80" t="s">
        <v>444</v>
      </c>
      <c r="E5" s="80" t="s">
        <v>385</v>
      </c>
      <c r="F5" s="80"/>
      <c r="G5" s="79">
        <v>2</v>
      </c>
      <c r="H5" s="80" t="s">
        <v>442</v>
      </c>
      <c r="I5" s="80" t="s">
        <v>358</v>
      </c>
      <c r="J5" s="80" t="s">
        <v>365</v>
      </c>
      <c r="K5" s="80"/>
      <c r="L5" s="80"/>
      <c r="M5" s="79">
        <v>2</v>
      </c>
      <c r="N5" s="80" t="s">
        <v>337</v>
      </c>
      <c r="O5" s="80" t="s">
        <v>346</v>
      </c>
      <c r="P5" s="80" t="s">
        <v>417</v>
      </c>
      <c r="Q5" s="80" t="s">
        <v>417</v>
      </c>
      <c r="R5" s="80"/>
    </row>
    <row r="6" spans="1:18">
      <c r="A6" s="79">
        <v>3</v>
      </c>
      <c r="B6" s="80" t="s">
        <v>407</v>
      </c>
      <c r="C6" s="80" t="s">
        <v>382</v>
      </c>
      <c r="D6" s="80" t="s">
        <v>363</v>
      </c>
      <c r="E6" s="80"/>
      <c r="F6" s="80"/>
      <c r="G6" s="79">
        <v>3</v>
      </c>
      <c r="H6" s="80" t="s">
        <v>353</v>
      </c>
      <c r="I6" s="80" t="s">
        <v>359</v>
      </c>
      <c r="J6" s="80" t="s">
        <v>357</v>
      </c>
      <c r="K6" s="80"/>
      <c r="L6" s="80"/>
      <c r="M6" s="79">
        <v>3</v>
      </c>
      <c r="N6" s="80" t="s">
        <v>338</v>
      </c>
      <c r="O6" s="80" t="s">
        <v>259</v>
      </c>
      <c r="P6" s="80" t="s">
        <v>340</v>
      </c>
      <c r="Q6" s="80" t="s">
        <v>490</v>
      </c>
      <c r="R6" s="80"/>
    </row>
    <row r="7" spans="1:18">
      <c r="A7" s="79">
        <v>4</v>
      </c>
      <c r="B7" s="80" t="s">
        <v>481</v>
      </c>
      <c r="C7" s="80" t="s">
        <v>402</v>
      </c>
      <c r="D7" s="80" t="s">
        <v>388</v>
      </c>
      <c r="E7" s="80"/>
      <c r="F7" s="80"/>
      <c r="G7" s="79">
        <v>4</v>
      </c>
      <c r="H7" s="80" t="s">
        <v>427</v>
      </c>
      <c r="I7" s="80" t="s">
        <v>418</v>
      </c>
      <c r="J7" s="80" t="s">
        <v>366</v>
      </c>
      <c r="K7" s="80"/>
      <c r="L7" s="80" t="s">
        <v>349</v>
      </c>
      <c r="M7" s="79">
        <v>4</v>
      </c>
      <c r="N7" s="80" t="s">
        <v>394</v>
      </c>
      <c r="O7" s="80" t="s">
        <v>429</v>
      </c>
      <c r="P7" s="80" t="s">
        <v>348</v>
      </c>
      <c r="Q7" s="80"/>
      <c r="R7" s="80"/>
    </row>
    <row r="8" spans="1:18">
      <c r="A8" s="79">
        <v>5</v>
      </c>
      <c r="B8" s="80" t="s">
        <v>380</v>
      </c>
      <c r="C8" s="80" t="s">
        <v>386</v>
      </c>
      <c r="D8" s="80" t="s">
        <v>415</v>
      </c>
      <c r="E8" s="80"/>
      <c r="F8" s="80"/>
      <c r="G8" s="79">
        <v>5</v>
      </c>
      <c r="H8" s="80" t="s">
        <v>435</v>
      </c>
      <c r="I8" s="80" t="s">
        <v>412</v>
      </c>
      <c r="J8" s="80" t="s">
        <v>405</v>
      </c>
      <c r="K8" s="80"/>
      <c r="L8" s="80"/>
      <c r="M8" s="79">
        <v>5</v>
      </c>
      <c r="N8" s="80" t="s">
        <v>413</v>
      </c>
      <c r="O8" s="80" t="s">
        <v>443</v>
      </c>
      <c r="P8" s="80" t="s">
        <v>342</v>
      </c>
      <c r="Q8" s="80"/>
      <c r="R8" s="80"/>
    </row>
    <row r="9" spans="1:18">
      <c r="A9" s="81" t="s">
        <v>335</v>
      </c>
      <c r="B9" s="80" t="s">
        <v>369</v>
      </c>
      <c r="C9" s="80" t="s">
        <v>370</v>
      </c>
      <c r="D9" s="80" t="s">
        <v>376</v>
      </c>
      <c r="E9" s="80"/>
      <c r="F9" s="80"/>
      <c r="G9" s="81" t="s">
        <v>335</v>
      </c>
      <c r="H9" s="80" t="s">
        <v>419</v>
      </c>
      <c r="I9" s="80" t="s">
        <v>387</v>
      </c>
      <c r="J9" s="80" t="s">
        <v>361</v>
      </c>
      <c r="K9" s="80"/>
      <c r="L9" s="80"/>
      <c r="M9" s="81" t="s">
        <v>335</v>
      </c>
      <c r="N9" s="80" t="s">
        <v>381</v>
      </c>
      <c r="O9" s="80" t="s">
        <v>373</v>
      </c>
      <c r="P9" s="80" t="s">
        <v>398</v>
      </c>
      <c r="Q9" s="80"/>
      <c r="R9" s="80"/>
    </row>
    <row r="10" spans="1:18">
      <c r="A10" s="79"/>
      <c r="B10" s="118"/>
      <c r="C10" s="118"/>
      <c r="D10" s="118"/>
      <c r="E10" s="80"/>
      <c r="F10" s="80"/>
      <c r="G10" s="79"/>
      <c r="H10" s="80"/>
      <c r="I10" s="80"/>
      <c r="J10" s="80"/>
      <c r="K10" s="80"/>
      <c r="L10" s="80"/>
      <c r="M10" s="79"/>
      <c r="N10" s="80"/>
      <c r="O10" s="80"/>
      <c r="P10" s="80"/>
      <c r="Q10" s="80"/>
      <c r="R10" s="80"/>
    </row>
    <row r="11" spans="1:18">
      <c r="A11" s="79"/>
      <c r="B11" s="118" t="s">
        <v>477</v>
      </c>
      <c r="C11" s="118"/>
      <c r="D11" s="118"/>
      <c r="E11" s="80"/>
      <c r="F11" s="80"/>
      <c r="G11" s="79"/>
      <c r="H11" s="118" t="s">
        <v>290</v>
      </c>
      <c r="I11" s="118"/>
      <c r="J11" s="118"/>
      <c r="K11" s="80"/>
      <c r="L11" s="80"/>
      <c r="M11" s="79"/>
      <c r="N11" s="118" t="s">
        <v>479</v>
      </c>
      <c r="O11" s="118"/>
      <c r="P11" s="118"/>
      <c r="Q11" s="80"/>
      <c r="R11" s="80"/>
    </row>
    <row r="12" spans="1:18">
      <c r="A12" s="79">
        <v>1</v>
      </c>
      <c r="B12" s="80" t="s">
        <v>502</v>
      </c>
      <c r="C12" s="80" t="s">
        <v>392</v>
      </c>
      <c r="D12" s="80" t="s">
        <v>389</v>
      </c>
      <c r="E12" s="80" t="s">
        <v>389</v>
      </c>
      <c r="F12" s="80" t="s">
        <v>503</v>
      </c>
      <c r="G12" s="79">
        <v>1</v>
      </c>
      <c r="H12" s="80"/>
      <c r="I12" s="80"/>
      <c r="J12" s="80"/>
      <c r="K12" s="80"/>
      <c r="L12" s="80"/>
      <c r="M12" s="79">
        <v>1</v>
      </c>
      <c r="N12" s="80" t="s">
        <v>337</v>
      </c>
      <c r="O12" s="80" t="s">
        <v>412</v>
      </c>
      <c r="P12" s="80" t="s">
        <v>415</v>
      </c>
      <c r="Q12" s="80"/>
      <c r="R12" s="80"/>
    </row>
    <row r="13" spans="1:18">
      <c r="A13" s="79">
        <v>2</v>
      </c>
      <c r="B13" s="80" t="s">
        <v>401</v>
      </c>
      <c r="C13" s="80" t="s">
        <v>382</v>
      </c>
      <c r="D13" s="80" t="s">
        <v>501</v>
      </c>
      <c r="E13" s="80"/>
      <c r="F13" s="80" t="s">
        <v>446</v>
      </c>
      <c r="G13" s="79">
        <v>2</v>
      </c>
      <c r="H13" s="80"/>
      <c r="I13" s="80"/>
      <c r="J13" s="80"/>
      <c r="K13" s="80"/>
      <c r="L13" s="80"/>
      <c r="M13" s="79">
        <v>2</v>
      </c>
      <c r="N13" s="80" t="s">
        <v>394</v>
      </c>
      <c r="O13" s="80" t="s">
        <v>390</v>
      </c>
      <c r="P13" s="80" t="s">
        <v>416</v>
      </c>
      <c r="Q13" s="80"/>
      <c r="R13" s="80"/>
    </row>
    <row r="14" spans="1:18">
      <c r="A14" s="79">
        <v>3</v>
      </c>
      <c r="B14" s="80" t="s">
        <v>481</v>
      </c>
      <c r="C14" s="80" t="s">
        <v>385</v>
      </c>
      <c r="D14" s="80" t="s">
        <v>420</v>
      </c>
      <c r="E14" s="80" t="s">
        <v>385</v>
      </c>
      <c r="F14" s="80"/>
      <c r="G14" s="79">
        <v>3</v>
      </c>
      <c r="H14" s="80"/>
      <c r="I14" s="80"/>
      <c r="J14" s="80"/>
      <c r="K14" s="80"/>
      <c r="L14" s="80"/>
      <c r="M14" s="79">
        <v>3</v>
      </c>
      <c r="N14" s="80" t="s">
        <v>413</v>
      </c>
      <c r="O14" s="80" t="s">
        <v>375</v>
      </c>
      <c r="P14" s="80" t="s">
        <v>444</v>
      </c>
      <c r="Q14" s="80"/>
      <c r="R14" s="80"/>
    </row>
    <row r="15" spans="1:18">
      <c r="A15" s="79">
        <v>4</v>
      </c>
      <c r="B15" s="80" t="s">
        <v>423</v>
      </c>
      <c r="C15" s="80" t="s">
        <v>441</v>
      </c>
      <c r="D15" s="80" t="s">
        <v>396</v>
      </c>
      <c r="E15" s="80"/>
      <c r="F15" s="80"/>
      <c r="G15" s="79">
        <v>4</v>
      </c>
      <c r="H15" s="80"/>
      <c r="I15" s="80"/>
      <c r="J15" s="80"/>
      <c r="K15" s="80"/>
      <c r="L15" s="80"/>
      <c r="M15" s="79">
        <v>4</v>
      </c>
      <c r="N15" s="80" t="s">
        <v>419</v>
      </c>
      <c r="O15" s="80" t="s">
        <v>373</v>
      </c>
      <c r="P15" s="80" t="s">
        <v>342</v>
      </c>
      <c r="Q15" s="80"/>
      <c r="R15" s="80"/>
    </row>
    <row r="16" spans="1:18">
      <c r="A16" s="79">
        <v>5</v>
      </c>
      <c r="B16" s="80" t="s">
        <v>380</v>
      </c>
      <c r="C16" s="80" t="s">
        <v>266</v>
      </c>
      <c r="D16" s="80" t="s">
        <v>417</v>
      </c>
      <c r="E16" s="80" t="s">
        <v>417</v>
      </c>
      <c r="F16" s="80"/>
      <c r="G16" s="79">
        <v>5</v>
      </c>
      <c r="H16" s="80"/>
      <c r="I16" s="80"/>
      <c r="J16" s="80"/>
      <c r="K16" s="80"/>
      <c r="L16" s="80"/>
      <c r="M16" s="79">
        <v>5</v>
      </c>
      <c r="N16" s="80" t="s">
        <v>353</v>
      </c>
      <c r="O16" s="80" t="s">
        <v>429</v>
      </c>
      <c r="P16" s="80" t="s">
        <v>458</v>
      </c>
      <c r="Q16" s="80"/>
      <c r="R16" s="80"/>
    </row>
    <row r="17" spans="1:18">
      <c r="A17" s="81" t="s">
        <v>335</v>
      </c>
      <c r="B17" s="80" t="s">
        <v>400</v>
      </c>
      <c r="C17" s="80" t="s">
        <v>269</v>
      </c>
      <c r="D17" s="80" t="s">
        <v>343</v>
      </c>
      <c r="E17" s="80"/>
      <c r="F17" s="80"/>
      <c r="G17" s="81"/>
      <c r="H17" s="80"/>
      <c r="I17" s="80"/>
      <c r="J17" s="80"/>
      <c r="K17" s="80"/>
      <c r="L17" s="80"/>
      <c r="M17" s="81" t="s">
        <v>335</v>
      </c>
      <c r="N17" s="80" t="s">
        <v>367</v>
      </c>
      <c r="O17" s="80" t="s">
        <v>360</v>
      </c>
      <c r="P17" s="80" t="s">
        <v>454</v>
      </c>
      <c r="Q17" s="80"/>
      <c r="R17" s="80"/>
    </row>
    <row r="18" spans="1:18">
      <c r="A18" s="79"/>
      <c r="B18" s="118"/>
      <c r="C18" s="118"/>
      <c r="D18" s="118"/>
      <c r="E18" s="80"/>
      <c r="F18" s="80"/>
      <c r="G18" s="79"/>
      <c r="H18" s="80"/>
      <c r="I18" s="80"/>
      <c r="J18" s="80"/>
      <c r="K18" s="80"/>
      <c r="L18" s="80"/>
      <c r="M18" s="79"/>
      <c r="N18" s="80"/>
      <c r="O18" s="80"/>
      <c r="P18" s="80"/>
      <c r="Q18" s="80"/>
      <c r="R18" s="80"/>
    </row>
    <row r="19" spans="1:18">
      <c r="A19" s="79"/>
      <c r="B19" s="118" t="s">
        <v>282</v>
      </c>
      <c r="C19" s="118"/>
      <c r="D19" s="118"/>
      <c r="E19" s="80"/>
      <c r="F19" s="80"/>
      <c r="G19" s="79"/>
      <c r="H19" s="118" t="s">
        <v>487</v>
      </c>
      <c r="I19" s="118"/>
      <c r="J19" s="118"/>
      <c r="K19" s="80"/>
      <c r="L19" s="80"/>
      <c r="M19" s="79"/>
      <c r="N19" s="118" t="s">
        <v>282</v>
      </c>
      <c r="O19" s="118"/>
      <c r="P19" s="118"/>
      <c r="Q19" s="80"/>
      <c r="R19" s="80"/>
    </row>
    <row r="20" spans="1:18">
      <c r="A20" s="79">
        <v>1</v>
      </c>
      <c r="B20" s="80" t="s">
        <v>423</v>
      </c>
      <c r="C20" s="80" t="s">
        <v>384</v>
      </c>
      <c r="D20" s="80" t="s">
        <v>389</v>
      </c>
      <c r="E20" s="80"/>
      <c r="F20" s="80"/>
      <c r="G20" s="79">
        <v>1</v>
      </c>
      <c r="H20" s="80" t="s">
        <v>400</v>
      </c>
      <c r="I20" s="80" t="s">
        <v>359</v>
      </c>
      <c r="J20" s="80" t="s">
        <v>270</v>
      </c>
      <c r="K20" s="80"/>
      <c r="L20" s="80"/>
      <c r="M20" s="79">
        <v>1</v>
      </c>
      <c r="N20" s="80" t="s">
        <v>401</v>
      </c>
      <c r="O20" s="80" t="s">
        <v>411</v>
      </c>
      <c r="P20" s="80" t="s">
        <v>343</v>
      </c>
      <c r="Q20" s="80"/>
      <c r="R20" s="80" t="s">
        <v>503</v>
      </c>
    </row>
    <row r="21" spans="1:18">
      <c r="A21" s="79">
        <v>2</v>
      </c>
      <c r="B21" s="80" t="s">
        <v>378</v>
      </c>
      <c r="C21" s="80" t="s">
        <v>390</v>
      </c>
      <c r="D21" s="80" t="s">
        <v>383</v>
      </c>
      <c r="E21" s="80"/>
      <c r="F21" s="80"/>
      <c r="G21" s="79">
        <v>2</v>
      </c>
      <c r="H21" s="80" t="s">
        <v>398</v>
      </c>
      <c r="I21" s="80" t="s">
        <v>414</v>
      </c>
      <c r="J21" s="80" t="s">
        <v>416</v>
      </c>
      <c r="K21" s="80"/>
      <c r="L21" s="80"/>
      <c r="M21" s="79">
        <v>2</v>
      </c>
      <c r="N21" s="80" t="s">
        <v>340</v>
      </c>
      <c r="O21" s="80" t="s">
        <v>371</v>
      </c>
      <c r="P21" s="80" t="s">
        <v>348</v>
      </c>
      <c r="Q21" s="80" t="s">
        <v>340</v>
      </c>
      <c r="R21" s="80"/>
    </row>
    <row r="22" spans="1:18">
      <c r="A22" s="79">
        <v>3</v>
      </c>
      <c r="B22" s="80" t="s">
        <v>380</v>
      </c>
      <c r="C22" s="80" t="s">
        <v>392</v>
      </c>
      <c r="D22" s="80" t="s">
        <v>500</v>
      </c>
      <c r="E22" s="80"/>
      <c r="F22" s="80"/>
      <c r="G22" s="79">
        <v>3</v>
      </c>
      <c r="H22" s="80" t="s">
        <v>435</v>
      </c>
      <c r="I22" s="80" t="s">
        <v>410</v>
      </c>
      <c r="J22" s="80" t="s">
        <v>415</v>
      </c>
      <c r="K22" s="80" t="s">
        <v>435</v>
      </c>
      <c r="L22" s="80"/>
      <c r="M22" s="79">
        <v>3</v>
      </c>
      <c r="N22" s="80" t="s">
        <v>336</v>
      </c>
      <c r="O22" s="80" t="s">
        <v>331</v>
      </c>
      <c r="P22" s="80" t="s">
        <v>342</v>
      </c>
      <c r="Q22" s="80"/>
      <c r="R22" s="80" t="s">
        <v>495</v>
      </c>
    </row>
    <row r="23" spans="1:18">
      <c r="A23" s="79">
        <v>4</v>
      </c>
      <c r="B23" s="80" t="s">
        <v>381</v>
      </c>
      <c r="C23" s="80" t="s">
        <v>441</v>
      </c>
      <c r="D23" s="80" t="s">
        <v>417</v>
      </c>
      <c r="E23" s="80" t="s">
        <v>417</v>
      </c>
      <c r="F23" s="80"/>
      <c r="G23" s="79">
        <v>4</v>
      </c>
      <c r="H23" s="80" t="s">
        <v>427</v>
      </c>
      <c r="I23" s="80" t="s">
        <v>402</v>
      </c>
      <c r="J23" s="80" t="s">
        <v>474</v>
      </c>
      <c r="K23" s="80"/>
      <c r="L23" s="80" t="s">
        <v>374</v>
      </c>
      <c r="M23" s="79">
        <v>4</v>
      </c>
      <c r="N23" s="80" t="s">
        <v>394</v>
      </c>
      <c r="O23" s="80" t="s">
        <v>346</v>
      </c>
      <c r="P23" s="80" t="s">
        <v>458</v>
      </c>
      <c r="Q23" s="80"/>
      <c r="R23" s="80"/>
    </row>
    <row r="24" spans="1:18">
      <c r="A24" s="79">
        <v>5</v>
      </c>
      <c r="B24" s="80" t="s">
        <v>379</v>
      </c>
      <c r="C24" s="80" t="s">
        <v>266</v>
      </c>
      <c r="D24" s="80" t="s">
        <v>403</v>
      </c>
      <c r="E24" s="80" t="s">
        <v>403</v>
      </c>
      <c r="F24" s="80"/>
      <c r="G24" s="79">
        <v>5</v>
      </c>
      <c r="H24" s="80" t="s">
        <v>413</v>
      </c>
      <c r="I24" s="80" t="s">
        <v>363</v>
      </c>
      <c r="J24" s="80" t="s">
        <v>366</v>
      </c>
      <c r="K24" s="80" t="s">
        <v>363</v>
      </c>
      <c r="L24" s="80"/>
      <c r="M24" s="79">
        <v>5</v>
      </c>
      <c r="N24" s="80" t="s">
        <v>353</v>
      </c>
      <c r="O24" s="80" t="s">
        <v>373</v>
      </c>
      <c r="P24" s="80" t="s">
        <v>372</v>
      </c>
      <c r="Q24" s="80"/>
      <c r="R24" s="80"/>
    </row>
    <row r="25" spans="1:18">
      <c r="A25" s="81" t="s">
        <v>335</v>
      </c>
      <c r="B25" s="80" t="s">
        <v>369</v>
      </c>
      <c r="C25" s="80" t="s">
        <v>370</v>
      </c>
      <c r="D25" s="80" t="s">
        <v>376</v>
      </c>
      <c r="E25" s="80"/>
      <c r="F25" s="80"/>
      <c r="G25" s="81" t="s">
        <v>335</v>
      </c>
      <c r="H25" s="80" t="s">
        <v>368</v>
      </c>
      <c r="I25" s="80" t="s">
        <v>418</v>
      </c>
      <c r="J25" s="80" t="s">
        <v>357</v>
      </c>
      <c r="K25" s="80"/>
      <c r="L25" s="80"/>
      <c r="M25" s="81" t="s">
        <v>335</v>
      </c>
      <c r="N25" s="80" t="s">
        <v>502</v>
      </c>
      <c r="O25" s="80" t="s">
        <v>468</v>
      </c>
      <c r="P25" s="80" t="s">
        <v>365</v>
      </c>
      <c r="Q25" s="80"/>
      <c r="R25" s="80" t="s">
        <v>447</v>
      </c>
    </row>
  </sheetData>
  <mergeCells count="11">
    <mergeCell ref="B19:D19"/>
    <mergeCell ref="H19:J19"/>
    <mergeCell ref="N19:P19"/>
    <mergeCell ref="B18:D18"/>
    <mergeCell ref="B2:D2"/>
    <mergeCell ref="H2:J2"/>
    <mergeCell ref="N2:P2"/>
    <mergeCell ref="B11:D11"/>
    <mergeCell ref="H11:J11"/>
    <mergeCell ref="N11:P11"/>
    <mergeCell ref="B10:D10"/>
  </mergeCells>
  <phoneticPr fontId="9"/>
  <pageMargins left="0.7" right="0.7" top="0.75" bottom="0.75" header="0.3" footer="0.3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B333-1ACE-42F1-8444-48AED9013EE7}">
  <dimension ref="A3:X60"/>
  <sheetViews>
    <sheetView zoomScale="84" workbookViewId="0">
      <selection activeCell="G24" sqref="G24"/>
    </sheetView>
  </sheetViews>
  <sheetFormatPr defaultRowHeight="12.75"/>
  <cols>
    <col min="1" max="1" width="4.6640625" bestFit="1" customWidth="1"/>
    <col min="7" max="7" width="4.6640625" bestFit="1" customWidth="1"/>
    <col min="13" max="13" width="4.6640625" bestFit="1" customWidth="1"/>
    <col min="19" max="19" width="4.6640625" bestFit="1" customWidth="1"/>
  </cols>
  <sheetData>
    <row r="3" spans="1:24">
      <c r="A3" s="79"/>
      <c r="B3" s="118" t="s">
        <v>277</v>
      </c>
      <c r="C3" s="118"/>
      <c r="D3" s="118"/>
      <c r="E3" s="80"/>
      <c r="F3" s="79"/>
      <c r="G3" s="79"/>
      <c r="H3" s="118" t="s">
        <v>277</v>
      </c>
      <c r="I3" s="118"/>
      <c r="J3" s="118"/>
      <c r="K3" s="80"/>
      <c r="L3" s="79"/>
      <c r="M3" s="79"/>
      <c r="N3" s="118" t="s">
        <v>277</v>
      </c>
      <c r="O3" s="118"/>
      <c r="P3" s="118"/>
      <c r="Q3" s="80"/>
      <c r="R3" s="79"/>
      <c r="S3" s="79"/>
      <c r="T3" s="118" t="s">
        <v>277</v>
      </c>
      <c r="U3" s="118"/>
      <c r="V3" s="118"/>
      <c r="W3" s="79"/>
    </row>
    <row r="4" spans="1:24">
      <c r="A4" s="79"/>
      <c r="B4" s="80" t="s">
        <v>334</v>
      </c>
      <c r="C4" s="80" t="s">
        <v>267</v>
      </c>
      <c r="D4" s="80" t="s">
        <v>274</v>
      </c>
      <c r="E4" s="79" t="s">
        <v>436</v>
      </c>
      <c r="F4" s="79" t="s">
        <v>437</v>
      </c>
      <c r="G4" s="79"/>
      <c r="H4" s="80" t="s">
        <v>334</v>
      </c>
      <c r="I4" s="80" t="s">
        <v>267</v>
      </c>
      <c r="J4" s="80" t="s">
        <v>274</v>
      </c>
      <c r="K4" s="79" t="s">
        <v>436</v>
      </c>
      <c r="L4" s="79" t="s">
        <v>437</v>
      </c>
      <c r="M4" s="79"/>
      <c r="N4" s="80" t="s">
        <v>334</v>
      </c>
      <c r="O4" s="80" t="s">
        <v>267</v>
      </c>
      <c r="P4" s="80" t="s">
        <v>274</v>
      </c>
      <c r="Q4" s="79" t="s">
        <v>436</v>
      </c>
      <c r="R4" s="79" t="s">
        <v>437</v>
      </c>
      <c r="S4" s="79"/>
      <c r="T4" s="80" t="s">
        <v>334</v>
      </c>
      <c r="U4" s="80" t="s">
        <v>267</v>
      </c>
      <c r="V4" s="80" t="s">
        <v>274</v>
      </c>
      <c r="W4" s="79" t="s">
        <v>436</v>
      </c>
      <c r="X4" s="79" t="s">
        <v>437</v>
      </c>
    </row>
    <row r="5" spans="1:24">
      <c r="A5" s="79">
        <v>1</v>
      </c>
      <c r="B5" s="80" t="s">
        <v>336</v>
      </c>
      <c r="C5" s="80" t="s">
        <v>412</v>
      </c>
      <c r="D5" s="80" t="s">
        <v>343</v>
      </c>
      <c r="E5" s="80"/>
      <c r="F5" s="79"/>
      <c r="G5" s="79">
        <v>1</v>
      </c>
      <c r="H5" s="80" t="s">
        <v>398</v>
      </c>
      <c r="I5" s="80" t="s">
        <v>356</v>
      </c>
      <c r="J5" s="80" t="s">
        <v>365</v>
      </c>
      <c r="K5" s="80"/>
      <c r="L5" s="79"/>
      <c r="M5" s="79">
        <v>1</v>
      </c>
      <c r="N5" s="80" t="s">
        <v>377</v>
      </c>
      <c r="O5" s="80" t="s">
        <v>382</v>
      </c>
      <c r="P5" s="80" t="s">
        <v>383</v>
      </c>
      <c r="Q5" s="80"/>
      <c r="R5" s="79"/>
      <c r="S5" s="79">
        <v>1</v>
      </c>
      <c r="T5" s="80" t="s">
        <v>406</v>
      </c>
      <c r="U5" s="80" t="s">
        <v>411</v>
      </c>
      <c r="V5" s="80" t="s">
        <v>363</v>
      </c>
      <c r="W5" s="80"/>
      <c r="X5" s="79"/>
    </row>
    <row r="6" spans="1:24">
      <c r="A6" s="79">
        <v>2</v>
      </c>
      <c r="B6" s="80" t="s">
        <v>337</v>
      </c>
      <c r="C6" s="80" t="s">
        <v>390</v>
      </c>
      <c r="D6" s="80" t="s">
        <v>345</v>
      </c>
      <c r="E6" s="80"/>
      <c r="F6" s="79"/>
      <c r="G6" s="79">
        <v>2</v>
      </c>
      <c r="H6" s="80" t="s">
        <v>351</v>
      </c>
      <c r="I6" s="80" t="s">
        <v>358</v>
      </c>
      <c r="J6" s="80" t="s">
        <v>366</v>
      </c>
      <c r="K6" s="80" t="s">
        <v>351</v>
      </c>
      <c r="L6" s="79"/>
      <c r="M6" s="79">
        <v>2</v>
      </c>
      <c r="N6" s="80" t="s">
        <v>378</v>
      </c>
      <c r="O6" s="80" t="s">
        <v>384</v>
      </c>
      <c r="P6" s="80" t="s">
        <v>395</v>
      </c>
      <c r="Q6" s="80"/>
      <c r="R6" s="79"/>
      <c r="S6" s="79">
        <v>2</v>
      </c>
      <c r="T6" s="80" t="s">
        <v>413</v>
      </c>
      <c r="U6" s="80" t="s">
        <v>485</v>
      </c>
      <c r="V6" s="80" t="s">
        <v>444</v>
      </c>
      <c r="W6" s="80"/>
      <c r="X6" s="79"/>
    </row>
    <row r="7" spans="1:24">
      <c r="A7" s="79">
        <v>3</v>
      </c>
      <c r="B7" s="80" t="s">
        <v>338</v>
      </c>
      <c r="C7" s="80" t="s">
        <v>473</v>
      </c>
      <c r="D7" s="80" t="s">
        <v>348</v>
      </c>
      <c r="E7" s="80" t="s">
        <v>367</v>
      </c>
      <c r="F7" s="79"/>
      <c r="G7" s="79">
        <v>3</v>
      </c>
      <c r="H7" s="80" t="s">
        <v>399</v>
      </c>
      <c r="I7" s="80" t="s">
        <v>359</v>
      </c>
      <c r="J7" s="80" t="s">
        <v>404</v>
      </c>
      <c r="K7" s="80" t="s">
        <v>404</v>
      </c>
      <c r="L7" s="79"/>
      <c r="M7" s="79">
        <v>3</v>
      </c>
      <c r="N7" s="80" t="s">
        <v>379</v>
      </c>
      <c r="O7" s="80" t="s">
        <v>530</v>
      </c>
      <c r="P7" s="80" t="s">
        <v>388</v>
      </c>
      <c r="Q7" s="80"/>
      <c r="R7" s="79"/>
      <c r="S7" s="79">
        <v>3</v>
      </c>
      <c r="T7" s="80" t="s">
        <v>394</v>
      </c>
      <c r="U7" s="80" t="s">
        <v>414</v>
      </c>
      <c r="V7" s="80" t="s">
        <v>535</v>
      </c>
      <c r="W7" s="80"/>
      <c r="X7" s="79"/>
    </row>
    <row r="8" spans="1:24">
      <c r="A8" s="79">
        <v>4</v>
      </c>
      <c r="B8" s="80" t="s">
        <v>339</v>
      </c>
      <c r="C8" s="80" t="s">
        <v>346</v>
      </c>
      <c r="D8" s="80" t="s">
        <v>340</v>
      </c>
      <c r="E8" s="80" t="s">
        <v>340</v>
      </c>
      <c r="F8" s="79"/>
      <c r="G8" s="79">
        <v>4</v>
      </c>
      <c r="H8" s="80" t="s">
        <v>442</v>
      </c>
      <c r="I8" s="80" t="s">
        <v>410</v>
      </c>
      <c r="J8" s="80" t="s">
        <v>374</v>
      </c>
      <c r="K8" s="80"/>
      <c r="L8" s="79"/>
      <c r="M8" s="79">
        <v>4</v>
      </c>
      <c r="N8" s="80" t="s">
        <v>380</v>
      </c>
      <c r="O8" s="80" t="s">
        <v>385</v>
      </c>
      <c r="P8" s="80" t="s">
        <v>417</v>
      </c>
      <c r="Q8" s="80"/>
      <c r="R8" s="79"/>
      <c r="S8" s="79">
        <v>4</v>
      </c>
      <c r="T8" s="80" t="s">
        <v>409</v>
      </c>
      <c r="U8" s="80" t="s">
        <v>418</v>
      </c>
      <c r="V8" s="80" t="s">
        <v>415</v>
      </c>
      <c r="W8" s="80"/>
      <c r="X8" s="79"/>
    </row>
    <row r="9" spans="1:24">
      <c r="A9" s="79">
        <v>5</v>
      </c>
      <c r="B9" s="80" t="s">
        <v>368</v>
      </c>
      <c r="C9" s="80" t="s">
        <v>347</v>
      </c>
      <c r="D9" s="80" t="s">
        <v>458</v>
      </c>
      <c r="E9" s="80" t="s">
        <v>368</v>
      </c>
      <c r="F9" s="79"/>
      <c r="G9" s="79">
        <v>5</v>
      </c>
      <c r="H9" s="80" t="s">
        <v>400</v>
      </c>
      <c r="I9" s="80" t="s">
        <v>402</v>
      </c>
      <c r="J9" s="80" t="s">
        <v>342</v>
      </c>
      <c r="K9" s="80"/>
      <c r="L9" s="79"/>
      <c r="M9" s="79">
        <v>5</v>
      </c>
      <c r="N9" s="80" t="s">
        <v>381</v>
      </c>
      <c r="O9" s="80" t="s">
        <v>386</v>
      </c>
      <c r="P9" s="80" t="s">
        <v>389</v>
      </c>
      <c r="Q9" s="80"/>
      <c r="R9" s="79"/>
      <c r="S9" s="79">
        <v>5</v>
      </c>
      <c r="T9" s="80" t="s">
        <v>353</v>
      </c>
      <c r="U9" s="80" t="s">
        <v>443</v>
      </c>
      <c r="V9" s="80" t="s">
        <v>403</v>
      </c>
      <c r="W9" s="80" t="s">
        <v>403</v>
      </c>
      <c r="X9" s="79"/>
    </row>
    <row r="10" spans="1:24">
      <c r="A10" s="81" t="s">
        <v>335</v>
      </c>
      <c r="B10" s="80" t="s">
        <v>369</v>
      </c>
      <c r="C10" s="80" t="s">
        <v>370</v>
      </c>
      <c r="D10" s="80"/>
      <c r="E10" s="80"/>
      <c r="F10" s="79"/>
      <c r="G10" s="81" t="s">
        <v>335</v>
      </c>
      <c r="H10" s="80"/>
      <c r="I10" s="80" t="s">
        <v>362</v>
      </c>
      <c r="J10" s="80" t="s">
        <v>357</v>
      </c>
      <c r="K10" s="80"/>
      <c r="L10" s="79"/>
      <c r="M10" s="81" t="s">
        <v>335</v>
      </c>
      <c r="N10" s="80" t="s">
        <v>397</v>
      </c>
      <c r="O10" s="80" t="s">
        <v>387</v>
      </c>
      <c r="P10" s="80" t="s">
        <v>376</v>
      </c>
      <c r="Q10" s="80"/>
      <c r="R10" s="79"/>
      <c r="S10" s="81" t="s">
        <v>335</v>
      </c>
      <c r="T10" s="80" t="s">
        <v>419</v>
      </c>
      <c r="U10" s="80" t="s">
        <v>373</v>
      </c>
      <c r="V10" s="80" t="s">
        <v>426</v>
      </c>
      <c r="W10" s="80"/>
      <c r="X10" s="79"/>
    </row>
    <row r="11" spans="1:24">
      <c r="A11" s="79"/>
      <c r="B11" s="80"/>
      <c r="C11" s="80"/>
      <c r="D11" s="80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  <c r="X11" s="79"/>
    </row>
    <row r="12" spans="1:24">
      <c r="A12" s="79"/>
      <c r="B12" s="80"/>
      <c r="C12" s="80"/>
      <c r="D12" s="80"/>
      <c r="E12" s="80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80"/>
      <c r="X12" s="79"/>
    </row>
    <row r="13" spans="1:24">
      <c r="A13" s="79"/>
      <c r="B13" s="118" t="s">
        <v>263</v>
      </c>
      <c r="C13" s="118"/>
      <c r="D13" s="118"/>
      <c r="E13" s="80"/>
      <c r="F13" s="79"/>
      <c r="G13" s="79"/>
      <c r="H13" s="118" t="s">
        <v>263</v>
      </c>
      <c r="I13" s="118"/>
      <c r="J13" s="118"/>
      <c r="K13" s="80"/>
      <c r="L13" s="79"/>
      <c r="M13" s="79"/>
      <c r="N13" s="118" t="s">
        <v>263</v>
      </c>
      <c r="O13" s="118"/>
      <c r="P13" s="118"/>
      <c r="Q13" s="80"/>
      <c r="R13" s="79"/>
      <c r="S13" s="79"/>
      <c r="T13" s="118" t="s">
        <v>263</v>
      </c>
      <c r="U13" s="118"/>
      <c r="V13" s="118"/>
      <c r="W13" s="80"/>
      <c r="X13" s="79"/>
    </row>
    <row r="14" spans="1:24">
      <c r="A14" s="79"/>
      <c r="B14" s="80" t="s">
        <v>334</v>
      </c>
      <c r="C14" s="80" t="s">
        <v>267</v>
      </c>
      <c r="D14" s="80" t="s">
        <v>274</v>
      </c>
      <c r="E14" s="80"/>
      <c r="F14" s="79"/>
      <c r="G14" s="79"/>
      <c r="H14" s="80" t="s">
        <v>334</v>
      </c>
      <c r="I14" s="80" t="s">
        <v>267</v>
      </c>
      <c r="J14" s="80" t="s">
        <v>274</v>
      </c>
      <c r="K14" s="80"/>
      <c r="L14" s="79"/>
      <c r="M14" s="79"/>
      <c r="N14" s="80" t="s">
        <v>334</v>
      </c>
      <c r="O14" s="80" t="s">
        <v>267</v>
      </c>
      <c r="P14" s="80" t="s">
        <v>274</v>
      </c>
      <c r="Q14" s="80"/>
      <c r="R14" s="79"/>
      <c r="S14" s="79"/>
      <c r="T14" s="80" t="s">
        <v>334</v>
      </c>
      <c r="U14" s="80" t="s">
        <v>267</v>
      </c>
      <c r="V14" s="80" t="s">
        <v>274</v>
      </c>
      <c r="W14" s="80"/>
      <c r="X14" s="79"/>
    </row>
    <row r="15" spans="1:24">
      <c r="A15" s="79">
        <v>1</v>
      </c>
      <c r="B15" s="80" t="s">
        <v>336</v>
      </c>
      <c r="C15" s="80" t="s">
        <v>375</v>
      </c>
      <c r="D15" s="80" t="s">
        <v>340</v>
      </c>
      <c r="E15" s="80" t="s">
        <v>340</v>
      </c>
      <c r="F15" s="79"/>
      <c r="G15" s="79">
        <v>1</v>
      </c>
      <c r="H15" s="80" t="s">
        <v>350</v>
      </c>
      <c r="I15" s="80" t="s">
        <v>356</v>
      </c>
      <c r="J15" s="80" t="s">
        <v>357</v>
      </c>
      <c r="K15" s="80"/>
      <c r="L15" s="79"/>
      <c r="M15" s="79">
        <v>1</v>
      </c>
      <c r="N15" s="80" t="s">
        <v>423</v>
      </c>
      <c r="O15" s="80" t="s">
        <v>446</v>
      </c>
      <c r="P15" s="80" t="s">
        <v>396</v>
      </c>
      <c r="Q15" s="80"/>
      <c r="R15" s="79"/>
      <c r="S15" s="79">
        <v>1</v>
      </c>
      <c r="T15" s="80" t="s">
        <v>499</v>
      </c>
      <c r="U15" s="80" t="s">
        <v>402</v>
      </c>
      <c r="V15" s="80" t="s">
        <v>489</v>
      </c>
      <c r="W15" s="80"/>
      <c r="X15" s="79"/>
    </row>
    <row r="16" spans="1:24">
      <c r="A16" s="79">
        <v>2</v>
      </c>
      <c r="B16" s="80" t="s">
        <v>337</v>
      </c>
      <c r="C16" s="80" t="s">
        <v>269</v>
      </c>
      <c r="D16" s="80" t="s">
        <v>458</v>
      </c>
      <c r="E16" s="80"/>
      <c r="F16" s="79"/>
      <c r="G16" s="79">
        <v>2</v>
      </c>
      <c r="H16" s="80" t="s">
        <v>351</v>
      </c>
      <c r="I16" s="80" t="s">
        <v>358</v>
      </c>
      <c r="J16" s="80" t="s">
        <v>366</v>
      </c>
      <c r="K16" s="80"/>
      <c r="L16" s="79"/>
      <c r="M16" s="79">
        <v>2</v>
      </c>
      <c r="N16" s="80" t="s">
        <v>380</v>
      </c>
      <c r="O16" s="80" t="s">
        <v>384</v>
      </c>
      <c r="P16" s="80" t="s">
        <v>417</v>
      </c>
      <c r="Q16" s="80"/>
      <c r="R16" s="79"/>
      <c r="S16" s="79">
        <v>2</v>
      </c>
      <c r="T16" s="80" t="s">
        <v>413</v>
      </c>
      <c r="U16" s="80" t="s">
        <v>373</v>
      </c>
      <c r="V16" s="80" t="s">
        <v>444</v>
      </c>
      <c r="W16" s="80"/>
      <c r="X16" s="79"/>
    </row>
    <row r="17" spans="1:24">
      <c r="A17" s="79">
        <v>3</v>
      </c>
      <c r="B17" s="80" t="s">
        <v>367</v>
      </c>
      <c r="C17" s="80" t="s">
        <v>259</v>
      </c>
      <c r="D17" s="80" t="s">
        <v>348</v>
      </c>
      <c r="E17" s="80"/>
      <c r="F17" s="79"/>
      <c r="G17" s="79">
        <v>3</v>
      </c>
      <c r="H17" s="80" t="s">
        <v>352</v>
      </c>
      <c r="I17" s="80" t="s">
        <v>362</v>
      </c>
      <c r="J17" s="80" t="s">
        <v>365</v>
      </c>
      <c r="K17" s="80" t="s">
        <v>494</v>
      </c>
      <c r="L17" s="79"/>
      <c r="M17" s="79">
        <v>3</v>
      </c>
      <c r="N17" s="80" t="s">
        <v>378</v>
      </c>
      <c r="O17" s="80" t="s">
        <v>485</v>
      </c>
      <c r="P17" s="80" t="s">
        <v>520</v>
      </c>
      <c r="Q17" s="80"/>
      <c r="R17" s="79"/>
      <c r="S17" s="79">
        <v>3</v>
      </c>
      <c r="T17" s="80" t="s">
        <v>419</v>
      </c>
      <c r="U17" s="80" t="s">
        <v>572</v>
      </c>
      <c r="V17" s="80" t="s">
        <v>416</v>
      </c>
      <c r="W17" s="80"/>
      <c r="X17" s="79"/>
    </row>
    <row r="18" spans="1:24">
      <c r="A18" s="79">
        <v>4</v>
      </c>
      <c r="B18" s="80" t="s">
        <v>339</v>
      </c>
      <c r="C18" s="80" t="s">
        <v>346</v>
      </c>
      <c r="D18" s="80" t="s">
        <v>394</v>
      </c>
      <c r="E18" s="80"/>
      <c r="F18" s="79"/>
      <c r="G18" s="79">
        <v>4</v>
      </c>
      <c r="H18" s="80" t="s">
        <v>353</v>
      </c>
      <c r="I18" s="80" t="s">
        <v>359</v>
      </c>
      <c r="J18" s="80" t="s">
        <v>270</v>
      </c>
      <c r="K18" s="80" t="s">
        <v>422</v>
      </c>
      <c r="L18" s="79"/>
      <c r="M18" s="79">
        <v>4</v>
      </c>
      <c r="N18" s="80" t="s">
        <v>481</v>
      </c>
      <c r="O18" s="80" t="s">
        <v>363</v>
      </c>
      <c r="P18" s="80" t="s">
        <v>385</v>
      </c>
      <c r="Q18" s="80" t="s">
        <v>385</v>
      </c>
      <c r="R18" s="79"/>
      <c r="S18" s="79">
        <v>4</v>
      </c>
      <c r="T18" s="80" t="s">
        <v>401</v>
      </c>
      <c r="U18" s="80" t="s">
        <v>441</v>
      </c>
      <c r="V18" s="80" t="s">
        <v>415</v>
      </c>
      <c r="W18" s="80"/>
      <c r="X18" s="79" t="s">
        <v>445</v>
      </c>
    </row>
    <row r="19" spans="1:24">
      <c r="A19" s="79">
        <v>5</v>
      </c>
      <c r="B19" s="80" t="s">
        <v>372</v>
      </c>
      <c r="C19" s="80" t="s">
        <v>424</v>
      </c>
      <c r="D19" s="80" t="s">
        <v>342</v>
      </c>
      <c r="E19" s="80"/>
      <c r="F19" s="79"/>
      <c r="G19" s="79">
        <v>5</v>
      </c>
      <c r="H19" s="80" t="s">
        <v>354</v>
      </c>
      <c r="I19" s="80" t="s">
        <v>412</v>
      </c>
      <c r="J19" s="80" t="s">
        <v>405</v>
      </c>
      <c r="K19" s="80"/>
      <c r="L19" s="79"/>
      <c r="M19" s="79">
        <v>5</v>
      </c>
      <c r="N19" s="80" t="s">
        <v>502</v>
      </c>
      <c r="O19" s="80" t="s">
        <v>266</v>
      </c>
      <c r="P19" s="80" t="s">
        <v>389</v>
      </c>
      <c r="Q19" s="80"/>
      <c r="R19" s="79"/>
      <c r="S19" s="79">
        <v>5</v>
      </c>
      <c r="T19" s="80" t="s">
        <v>400</v>
      </c>
      <c r="U19" s="80" t="s">
        <v>390</v>
      </c>
      <c r="V19" s="80" t="s">
        <v>422</v>
      </c>
      <c r="W19" s="80"/>
      <c r="X19" s="79"/>
    </row>
    <row r="20" spans="1:24">
      <c r="A20" s="81" t="s">
        <v>335</v>
      </c>
      <c r="B20" s="80" t="s">
        <v>369</v>
      </c>
      <c r="C20" s="80" t="s">
        <v>370</v>
      </c>
      <c r="D20" s="80" t="s">
        <v>376</v>
      </c>
      <c r="E20" s="80"/>
      <c r="F20" s="79"/>
      <c r="G20" s="81" t="s">
        <v>335</v>
      </c>
      <c r="H20" s="80" t="s">
        <v>355</v>
      </c>
      <c r="I20" s="80" t="s">
        <v>418</v>
      </c>
      <c r="J20" s="80" t="s">
        <v>343</v>
      </c>
      <c r="K20" s="80"/>
      <c r="L20" s="79"/>
      <c r="M20" s="81" t="s">
        <v>335</v>
      </c>
      <c r="N20" s="80" t="s">
        <v>381</v>
      </c>
      <c r="O20" s="80" t="s">
        <v>443</v>
      </c>
      <c r="P20" s="80" t="s">
        <v>383</v>
      </c>
      <c r="Q20" s="80"/>
      <c r="R20" s="79"/>
      <c r="S20" s="81" t="s">
        <v>335</v>
      </c>
      <c r="T20" s="80" t="s">
        <v>397</v>
      </c>
      <c r="U20" s="80" t="s">
        <v>387</v>
      </c>
      <c r="V20" s="80" t="s">
        <v>498</v>
      </c>
      <c r="W20" s="80"/>
      <c r="X20" s="79"/>
    </row>
    <row r="21" spans="1:24">
      <c r="N21" s="80"/>
      <c r="O21" s="80"/>
      <c r="P21" s="80"/>
      <c r="T21" s="80"/>
      <c r="W21" s="80"/>
      <c r="X21" s="79"/>
    </row>
    <row r="22" spans="1:24">
      <c r="T22" s="80" t="s">
        <v>407</v>
      </c>
      <c r="W22" s="80"/>
      <c r="X22" s="79"/>
    </row>
    <row r="23" spans="1:24">
      <c r="A23" s="79"/>
      <c r="B23" s="118" t="s">
        <v>277</v>
      </c>
      <c r="C23" s="118"/>
      <c r="D23" s="118"/>
      <c r="E23" s="80"/>
      <c r="F23" s="79"/>
      <c r="G23" s="79"/>
      <c r="H23" s="118" t="s">
        <v>277</v>
      </c>
      <c r="I23" s="118"/>
      <c r="J23" s="118"/>
      <c r="K23" s="80"/>
      <c r="L23" s="79"/>
      <c r="M23" s="79"/>
      <c r="N23" s="118" t="s">
        <v>277</v>
      </c>
      <c r="O23" s="118"/>
      <c r="P23" s="118"/>
      <c r="Q23" s="80"/>
      <c r="R23" s="79"/>
      <c r="S23" s="79"/>
      <c r="T23" s="118" t="s">
        <v>277</v>
      </c>
      <c r="U23" s="118"/>
      <c r="V23" s="118"/>
      <c r="W23" s="80"/>
      <c r="X23" s="79"/>
    </row>
    <row r="24" spans="1:24">
      <c r="A24" s="79"/>
      <c r="B24" s="80" t="s">
        <v>334</v>
      </c>
      <c r="C24" s="80" t="s">
        <v>267</v>
      </c>
      <c r="D24" s="80" t="s">
        <v>274</v>
      </c>
      <c r="E24" s="80"/>
      <c r="F24" s="79"/>
      <c r="G24" s="79"/>
      <c r="H24" s="80" t="s">
        <v>334</v>
      </c>
      <c r="I24" s="80" t="s">
        <v>267</v>
      </c>
      <c r="J24" s="80" t="s">
        <v>274</v>
      </c>
      <c r="K24" s="80"/>
      <c r="L24" s="79"/>
      <c r="M24" s="79"/>
      <c r="N24" s="80" t="s">
        <v>334</v>
      </c>
      <c r="O24" s="80" t="s">
        <v>267</v>
      </c>
      <c r="P24" s="80" t="s">
        <v>274</v>
      </c>
      <c r="Q24" s="80"/>
      <c r="R24" s="79"/>
      <c r="S24" s="79"/>
      <c r="T24" s="80" t="s">
        <v>334</v>
      </c>
      <c r="U24" s="80" t="s">
        <v>267</v>
      </c>
      <c r="V24" s="80" t="s">
        <v>274</v>
      </c>
      <c r="W24" s="80"/>
      <c r="X24" s="79"/>
    </row>
    <row r="25" spans="1:24">
      <c r="A25" s="79">
        <v>1</v>
      </c>
      <c r="B25" s="80" t="s">
        <v>336</v>
      </c>
      <c r="C25" s="80" t="s">
        <v>371</v>
      </c>
      <c r="D25" s="80" t="s">
        <v>343</v>
      </c>
      <c r="E25" s="80"/>
      <c r="F25" s="79"/>
      <c r="G25" s="79">
        <v>1</v>
      </c>
      <c r="H25" s="80" t="s">
        <v>350</v>
      </c>
      <c r="I25" s="80" t="s">
        <v>412</v>
      </c>
      <c r="J25" s="80" t="s">
        <v>404</v>
      </c>
      <c r="K25" s="80" t="s">
        <v>404</v>
      </c>
      <c r="L25" s="79"/>
      <c r="M25" s="79">
        <v>1</v>
      </c>
      <c r="N25" s="80" t="s">
        <v>391</v>
      </c>
      <c r="O25" s="80" t="s">
        <v>382</v>
      </c>
      <c r="P25" s="80" t="s">
        <v>388</v>
      </c>
      <c r="Q25" s="80"/>
      <c r="R25" s="79"/>
      <c r="S25" s="79">
        <v>1</v>
      </c>
      <c r="T25" s="80" t="s">
        <v>413</v>
      </c>
      <c r="U25" s="80" t="s">
        <v>346</v>
      </c>
      <c r="V25" s="80" t="s">
        <v>458</v>
      </c>
      <c r="W25" s="80"/>
      <c r="X25" s="79"/>
    </row>
    <row r="26" spans="1:24">
      <c r="A26" s="79">
        <v>2</v>
      </c>
      <c r="B26" s="80" t="s">
        <v>337</v>
      </c>
      <c r="C26" s="80" t="s">
        <v>429</v>
      </c>
      <c r="D26" s="80" t="s">
        <v>340</v>
      </c>
      <c r="E26" s="80" t="s">
        <v>340</v>
      </c>
      <c r="F26" s="79"/>
      <c r="G26" s="79">
        <v>2</v>
      </c>
      <c r="H26" s="80" t="s">
        <v>351</v>
      </c>
      <c r="I26" s="80" t="s">
        <v>358</v>
      </c>
      <c r="J26" s="80" t="s">
        <v>366</v>
      </c>
      <c r="K26" s="80" t="s">
        <v>351</v>
      </c>
      <c r="L26" s="79"/>
      <c r="M26" s="79">
        <v>2</v>
      </c>
      <c r="N26" s="80" t="s">
        <v>380</v>
      </c>
      <c r="O26" s="80" t="s">
        <v>384</v>
      </c>
      <c r="P26" s="80" t="s">
        <v>395</v>
      </c>
      <c r="Q26" s="80"/>
      <c r="R26" s="79"/>
      <c r="S26" s="79">
        <v>2</v>
      </c>
      <c r="T26" s="80" t="s">
        <v>435</v>
      </c>
      <c r="U26" s="80" t="s">
        <v>484</v>
      </c>
      <c r="V26" s="80" t="s">
        <v>415</v>
      </c>
      <c r="W26" s="80" t="s">
        <v>435</v>
      </c>
      <c r="X26" s="79"/>
    </row>
    <row r="27" spans="1:24">
      <c r="A27" s="79">
        <v>3</v>
      </c>
      <c r="B27" s="80" t="s">
        <v>367</v>
      </c>
      <c r="C27" s="80" t="s">
        <v>473</v>
      </c>
      <c r="D27" s="80" t="s">
        <v>348</v>
      </c>
      <c r="E27" s="80" t="s">
        <v>338</v>
      </c>
      <c r="F27" s="79"/>
      <c r="G27" s="79">
        <v>3</v>
      </c>
      <c r="H27" s="80" t="s">
        <v>442</v>
      </c>
      <c r="I27" s="80" t="s">
        <v>410</v>
      </c>
      <c r="J27" s="80" t="s">
        <v>365</v>
      </c>
      <c r="K27" s="80"/>
      <c r="L27" s="79"/>
      <c r="M27" s="79">
        <v>3</v>
      </c>
      <c r="N27" s="80" t="s">
        <v>378</v>
      </c>
      <c r="O27" s="80" t="s">
        <v>393</v>
      </c>
      <c r="P27" s="80" t="s">
        <v>407</v>
      </c>
      <c r="Q27" s="80"/>
      <c r="R27" s="79"/>
      <c r="S27" s="79">
        <v>3</v>
      </c>
      <c r="T27" s="80" t="s">
        <v>399</v>
      </c>
      <c r="U27" s="80" t="s">
        <v>411</v>
      </c>
      <c r="V27" s="80" t="s">
        <v>394</v>
      </c>
      <c r="W27" s="80"/>
      <c r="X27" s="79"/>
    </row>
    <row r="28" spans="1:24">
      <c r="A28" s="79">
        <v>4</v>
      </c>
      <c r="B28" s="80" t="s">
        <v>339</v>
      </c>
      <c r="C28" s="80" t="s">
        <v>448</v>
      </c>
      <c r="D28" s="80" t="s">
        <v>372</v>
      </c>
      <c r="E28" s="80"/>
      <c r="F28" s="79"/>
      <c r="G28" s="79">
        <v>4</v>
      </c>
      <c r="H28" s="80" t="s">
        <v>398</v>
      </c>
      <c r="I28" s="80" t="s">
        <v>359</v>
      </c>
      <c r="J28" s="80" t="s">
        <v>417</v>
      </c>
      <c r="K28" s="80"/>
      <c r="L28" s="79"/>
      <c r="M28" s="79">
        <v>4</v>
      </c>
      <c r="N28" s="80" t="s">
        <v>380</v>
      </c>
      <c r="O28" s="80" t="s">
        <v>385</v>
      </c>
      <c r="P28" s="80" t="s">
        <v>416</v>
      </c>
      <c r="Q28" s="80"/>
      <c r="R28" s="79"/>
      <c r="S28" s="79">
        <v>4</v>
      </c>
      <c r="T28" s="80" t="s">
        <v>409</v>
      </c>
      <c r="U28" s="80" t="s">
        <v>402</v>
      </c>
      <c r="V28" s="80" t="s">
        <v>374</v>
      </c>
      <c r="W28" s="80"/>
      <c r="X28" s="79"/>
    </row>
    <row r="29" spans="1:24">
      <c r="A29" s="79">
        <v>5</v>
      </c>
      <c r="B29" s="80" t="s">
        <v>368</v>
      </c>
      <c r="C29" s="80" t="s">
        <v>561</v>
      </c>
      <c r="D29" s="80" t="s">
        <v>342</v>
      </c>
      <c r="E29" s="80" t="s">
        <v>368</v>
      </c>
      <c r="F29" s="79"/>
      <c r="G29" s="79">
        <v>5</v>
      </c>
      <c r="H29" s="80" t="s">
        <v>581</v>
      </c>
      <c r="I29" s="80" t="s">
        <v>261</v>
      </c>
      <c r="J29" s="80" t="s">
        <v>403</v>
      </c>
      <c r="K29" s="80" t="s">
        <v>403</v>
      </c>
      <c r="L29" s="79"/>
      <c r="M29" s="79">
        <v>5</v>
      </c>
      <c r="N29" s="80" t="s">
        <v>381</v>
      </c>
      <c r="O29" s="80" t="s">
        <v>441</v>
      </c>
      <c r="P29" s="80" t="s">
        <v>389</v>
      </c>
      <c r="Q29" s="80"/>
      <c r="R29" s="79"/>
      <c r="S29" s="79">
        <v>5</v>
      </c>
      <c r="T29" s="80" t="s">
        <v>353</v>
      </c>
      <c r="U29" s="80" t="s">
        <v>363</v>
      </c>
      <c r="V29" s="80" t="s">
        <v>444</v>
      </c>
      <c r="W29" s="80" t="s">
        <v>363</v>
      </c>
      <c r="X29" s="79"/>
    </row>
    <row r="30" spans="1:24">
      <c r="A30" s="81" t="s">
        <v>335</v>
      </c>
      <c r="B30" s="80" t="s">
        <v>369</v>
      </c>
      <c r="C30" s="80" t="s">
        <v>370</v>
      </c>
      <c r="D30" s="80" t="s">
        <v>376</v>
      </c>
      <c r="E30" s="80"/>
      <c r="F30" s="79"/>
      <c r="G30" s="81" t="s">
        <v>335</v>
      </c>
      <c r="H30" s="80" t="s">
        <v>419</v>
      </c>
      <c r="I30" s="80" t="s">
        <v>362</v>
      </c>
      <c r="J30" s="80" t="s">
        <v>357</v>
      </c>
      <c r="K30" s="80"/>
      <c r="L30" s="79"/>
      <c r="M30" s="81" t="s">
        <v>335</v>
      </c>
      <c r="N30" s="80" t="s">
        <v>397</v>
      </c>
      <c r="O30" s="80" t="s">
        <v>360</v>
      </c>
      <c r="P30" s="80" t="s">
        <v>387</v>
      </c>
      <c r="Q30" s="80"/>
      <c r="R30" s="79"/>
      <c r="S30" s="81" t="s">
        <v>335</v>
      </c>
      <c r="T30" s="80" t="s">
        <v>502</v>
      </c>
      <c r="U30" s="80" t="s">
        <v>373</v>
      </c>
      <c r="V30" s="80" t="s">
        <v>426</v>
      </c>
      <c r="W30" s="80"/>
      <c r="X30" s="79"/>
    </row>
    <row r="31" spans="1:24">
      <c r="W31" s="80"/>
      <c r="X31" s="79"/>
    </row>
    <row r="32" spans="1:24">
      <c r="D32" s="49" t="s">
        <v>349</v>
      </c>
      <c r="H32" s="80" t="s">
        <v>352</v>
      </c>
      <c r="I32" s="80" t="s">
        <v>356</v>
      </c>
      <c r="W32" s="80"/>
      <c r="X32" s="79"/>
    </row>
    <row r="33" spans="1:24">
      <c r="A33" s="79"/>
      <c r="B33" s="118" t="s">
        <v>263</v>
      </c>
      <c r="C33" s="118"/>
      <c r="D33" s="118"/>
      <c r="E33" s="80"/>
      <c r="F33" s="79"/>
      <c r="G33" s="79"/>
      <c r="H33" s="118" t="s">
        <v>263</v>
      </c>
      <c r="I33" s="118"/>
      <c r="J33" s="118"/>
      <c r="K33" s="80"/>
      <c r="L33" s="79"/>
      <c r="M33" s="79"/>
      <c r="N33" s="118" t="s">
        <v>263</v>
      </c>
      <c r="O33" s="118"/>
      <c r="P33" s="118"/>
      <c r="Q33" s="80"/>
      <c r="R33" s="79"/>
      <c r="S33" s="79"/>
      <c r="T33" s="118" t="s">
        <v>580</v>
      </c>
      <c r="U33" s="118"/>
      <c r="V33" s="118"/>
      <c r="W33" s="80"/>
      <c r="X33" s="79"/>
    </row>
    <row r="34" spans="1:24">
      <c r="A34" s="79"/>
      <c r="B34" s="80" t="s">
        <v>334</v>
      </c>
      <c r="C34" s="80" t="s">
        <v>267</v>
      </c>
      <c r="D34" s="80" t="s">
        <v>274</v>
      </c>
      <c r="E34" s="80"/>
      <c r="F34" s="79"/>
      <c r="G34" s="79"/>
      <c r="H34" s="80" t="s">
        <v>334</v>
      </c>
      <c r="I34" s="80" t="s">
        <v>267</v>
      </c>
      <c r="J34" s="80" t="s">
        <v>274</v>
      </c>
      <c r="K34" s="80"/>
      <c r="L34" s="79"/>
      <c r="M34" s="79"/>
      <c r="N34" s="80" t="s">
        <v>334</v>
      </c>
      <c r="O34" s="80" t="s">
        <v>267</v>
      </c>
      <c r="P34" s="80" t="s">
        <v>274</v>
      </c>
      <c r="Q34" s="80"/>
      <c r="R34" s="79"/>
      <c r="S34" s="79"/>
      <c r="T34" s="80" t="s">
        <v>334</v>
      </c>
      <c r="U34" s="80" t="s">
        <v>267</v>
      </c>
      <c r="V34" s="80" t="s">
        <v>274</v>
      </c>
      <c r="W34" s="80"/>
      <c r="X34" s="79"/>
    </row>
    <row r="35" spans="1:24">
      <c r="A35" s="79">
        <v>1</v>
      </c>
      <c r="B35" s="80" t="s">
        <v>336</v>
      </c>
      <c r="C35" s="80" t="s">
        <v>429</v>
      </c>
      <c r="D35" s="80" t="s">
        <v>340</v>
      </c>
      <c r="E35" s="80" t="s">
        <v>340</v>
      </c>
      <c r="F35" s="79"/>
      <c r="G35" s="79">
        <v>1</v>
      </c>
      <c r="H35" s="80" t="s">
        <v>499</v>
      </c>
      <c r="I35" s="80" t="s">
        <v>412</v>
      </c>
      <c r="J35" s="80" t="s">
        <v>357</v>
      </c>
      <c r="K35" s="80"/>
      <c r="L35" s="79"/>
      <c r="M35" s="79">
        <v>1</v>
      </c>
      <c r="N35" s="80" t="s">
        <v>423</v>
      </c>
      <c r="O35" s="80" t="s">
        <v>446</v>
      </c>
      <c r="P35" s="80" t="s">
        <v>396</v>
      </c>
      <c r="Q35" s="80"/>
      <c r="R35" s="79"/>
      <c r="S35" s="79">
        <v>1</v>
      </c>
      <c r="T35" s="80" t="s">
        <v>399</v>
      </c>
      <c r="U35" s="80" t="s">
        <v>402</v>
      </c>
      <c r="V35" s="80" t="s">
        <v>422</v>
      </c>
      <c r="W35" s="80"/>
      <c r="X35" s="79"/>
    </row>
    <row r="36" spans="1:24">
      <c r="A36" s="79">
        <v>2</v>
      </c>
      <c r="B36" s="80" t="s">
        <v>337</v>
      </c>
      <c r="C36" s="80" t="s">
        <v>424</v>
      </c>
      <c r="D36" s="80" t="s">
        <v>458</v>
      </c>
      <c r="E36" s="80"/>
      <c r="F36" s="79"/>
      <c r="G36" s="79">
        <v>2</v>
      </c>
      <c r="H36" s="80" t="s">
        <v>351</v>
      </c>
      <c r="I36" s="80" t="s">
        <v>358</v>
      </c>
      <c r="J36" s="80" t="s">
        <v>366</v>
      </c>
      <c r="K36" s="80" t="s">
        <v>351</v>
      </c>
      <c r="L36" s="79"/>
      <c r="M36" s="79">
        <v>2</v>
      </c>
      <c r="N36" s="80" t="s">
        <v>379</v>
      </c>
      <c r="O36" s="80" t="s">
        <v>384</v>
      </c>
      <c r="P36" s="80" t="s">
        <v>389</v>
      </c>
      <c r="Q36" s="80" t="s">
        <v>389</v>
      </c>
      <c r="R36" s="79"/>
      <c r="S36" s="79">
        <v>2</v>
      </c>
      <c r="T36" s="80" t="s">
        <v>407</v>
      </c>
      <c r="U36" s="80" t="s">
        <v>373</v>
      </c>
      <c r="V36" s="80" t="s">
        <v>444</v>
      </c>
      <c r="W36" s="80"/>
      <c r="X36" s="79"/>
    </row>
    <row r="37" spans="1:24">
      <c r="A37" s="79">
        <v>3</v>
      </c>
      <c r="B37" s="80" t="s">
        <v>367</v>
      </c>
      <c r="C37" s="80" t="s">
        <v>259</v>
      </c>
      <c r="D37" s="80" t="s">
        <v>348</v>
      </c>
      <c r="E37" s="80" t="s">
        <v>367</v>
      </c>
      <c r="F37" s="79"/>
      <c r="G37" s="79">
        <v>3</v>
      </c>
      <c r="H37" s="80" t="s">
        <v>435</v>
      </c>
      <c r="I37" s="80" t="s">
        <v>362</v>
      </c>
      <c r="J37" s="80" t="s">
        <v>365</v>
      </c>
      <c r="K37" s="80"/>
      <c r="L37" s="79"/>
      <c r="M37" s="79">
        <v>3</v>
      </c>
      <c r="N37" s="80" t="s">
        <v>378</v>
      </c>
      <c r="O37" s="80" t="s">
        <v>382</v>
      </c>
      <c r="P37" s="80" t="s">
        <v>383</v>
      </c>
      <c r="Q37" s="80"/>
      <c r="R37" s="79"/>
      <c r="S37" s="79">
        <v>3</v>
      </c>
      <c r="T37" s="80" t="s">
        <v>419</v>
      </c>
      <c r="U37" s="80" t="s">
        <v>392</v>
      </c>
      <c r="V37" s="80" t="s">
        <v>416</v>
      </c>
      <c r="W37" s="80"/>
      <c r="X37" s="79"/>
    </row>
    <row r="38" spans="1:24">
      <c r="A38" s="79">
        <v>4</v>
      </c>
      <c r="B38" s="80" t="s">
        <v>339</v>
      </c>
      <c r="C38" s="80" t="s">
        <v>346</v>
      </c>
      <c r="D38" s="80" t="s">
        <v>394</v>
      </c>
      <c r="E38" s="80"/>
      <c r="F38" s="79"/>
      <c r="G38" s="79">
        <v>4</v>
      </c>
      <c r="H38" s="80" t="s">
        <v>353</v>
      </c>
      <c r="I38" s="80" t="s">
        <v>359</v>
      </c>
      <c r="J38" s="80" t="s">
        <v>270</v>
      </c>
      <c r="K38" s="80"/>
      <c r="L38" s="79"/>
      <c r="M38" s="79">
        <v>4</v>
      </c>
      <c r="N38" s="80" t="s">
        <v>502</v>
      </c>
      <c r="O38" s="80" t="s">
        <v>385</v>
      </c>
      <c r="P38" s="80" t="s">
        <v>363</v>
      </c>
      <c r="Q38" s="80" t="s">
        <v>385</v>
      </c>
      <c r="R38" s="79"/>
      <c r="S38" s="79">
        <v>4</v>
      </c>
      <c r="T38" s="80" t="s">
        <v>401</v>
      </c>
      <c r="U38" s="80" t="s">
        <v>441</v>
      </c>
      <c r="V38" s="80" t="s">
        <v>415</v>
      </c>
      <c r="W38" s="80"/>
      <c r="X38" s="79" t="s">
        <v>445</v>
      </c>
    </row>
    <row r="39" spans="1:24">
      <c r="A39" s="79">
        <v>5</v>
      </c>
      <c r="B39" s="80" t="s">
        <v>372</v>
      </c>
      <c r="C39" s="80" t="s">
        <v>269</v>
      </c>
      <c r="D39" s="80" t="s">
        <v>342</v>
      </c>
      <c r="E39" s="80"/>
      <c r="F39" s="79"/>
      <c r="G39" s="79">
        <v>5</v>
      </c>
      <c r="H39" s="80" t="s">
        <v>354</v>
      </c>
      <c r="I39" s="80" t="s">
        <v>443</v>
      </c>
      <c r="J39" s="80" t="s">
        <v>404</v>
      </c>
      <c r="K39" s="80" t="s">
        <v>404</v>
      </c>
      <c r="L39" s="79"/>
      <c r="M39" s="79">
        <v>5</v>
      </c>
      <c r="N39" s="80" t="s">
        <v>380</v>
      </c>
      <c r="O39" s="80" t="s">
        <v>266</v>
      </c>
      <c r="P39" s="80" t="s">
        <v>417</v>
      </c>
      <c r="Q39" s="80" t="s">
        <v>417</v>
      </c>
      <c r="R39" s="79" t="s">
        <v>445</v>
      </c>
      <c r="S39" s="79">
        <v>5</v>
      </c>
      <c r="T39" s="80" t="s">
        <v>400</v>
      </c>
      <c r="U39" s="80" t="s">
        <v>390</v>
      </c>
      <c r="V39" s="80" t="s">
        <v>405</v>
      </c>
      <c r="W39" s="80"/>
      <c r="X39" s="79"/>
    </row>
    <row r="40" spans="1:24">
      <c r="A40" s="81" t="s">
        <v>335</v>
      </c>
      <c r="B40" s="80" t="s">
        <v>369</v>
      </c>
      <c r="C40" s="80" t="s">
        <v>370</v>
      </c>
      <c r="D40" s="80" t="s">
        <v>376</v>
      </c>
      <c r="E40" s="80"/>
      <c r="F40" s="79"/>
      <c r="G40" s="81" t="s">
        <v>335</v>
      </c>
      <c r="H40" s="80" t="s">
        <v>582</v>
      </c>
      <c r="I40" s="80" t="s">
        <v>414</v>
      </c>
      <c r="J40" s="80" t="s">
        <v>355</v>
      </c>
      <c r="K40" s="80"/>
      <c r="L40" s="79"/>
      <c r="M40" s="81" t="s">
        <v>335</v>
      </c>
      <c r="N40" s="80" t="s">
        <v>381</v>
      </c>
      <c r="O40" s="80" t="s">
        <v>261</v>
      </c>
      <c r="P40" s="80" t="s">
        <v>343</v>
      </c>
      <c r="Q40" s="80"/>
      <c r="R40" s="79"/>
      <c r="S40" s="81" t="s">
        <v>335</v>
      </c>
      <c r="T40" s="80" t="s">
        <v>397</v>
      </c>
      <c r="U40" s="80" t="s">
        <v>387</v>
      </c>
      <c r="V40" s="80" t="s">
        <v>361</v>
      </c>
      <c r="W40" s="80"/>
      <c r="X40" s="79"/>
    </row>
    <row r="41" spans="1:24">
      <c r="U41" s="80"/>
      <c r="V41" s="80"/>
    </row>
    <row r="42" spans="1:24">
      <c r="H42" s="49"/>
      <c r="I42" s="49"/>
      <c r="O42" s="80"/>
      <c r="P42" s="80"/>
    </row>
    <row r="43" spans="1:24">
      <c r="A43" s="79"/>
      <c r="B43" s="118"/>
      <c r="C43" s="118"/>
      <c r="D43" s="118"/>
      <c r="E43" s="80"/>
      <c r="F43" s="79"/>
      <c r="G43" s="79"/>
      <c r="H43" s="80"/>
      <c r="I43" s="80"/>
      <c r="J43" s="80"/>
      <c r="K43" s="80"/>
      <c r="L43" s="79"/>
      <c r="M43" s="79"/>
      <c r="N43" s="118"/>
      <c r="O43" s="118"/>
      <c r="P43" s="118"/>
      <c r="Q43" s="80"/>
      <c r="R43" s="79"/>
      <c r="S43" s="79"/>
      <c r="T43" s="118"/>
      <c r="U43" s="118"/>
      <c r="V43" s="118"/>
    </row>
    <row r="44" spans="1:24">
      <c r="A44" s="79"/>
      <c r="B44" s="80"/>
      <c r="C44" s="80"/>
      <c r="D44" s="80"/>
      <c r="E44" s="80"/>
      <c r="F44" s="79"/>
      <c r="G44" s="79"/>
      <c r="H44" s="80"/>
      <c r="I44" s="80"/>
      <c r="J44" s="80"/>
      <c r="K44" s="80"/>
      <c r="L44" s="79"/>
      <c r="M44" s="79"/>
      <c r="N44" s="80"/>
      <c r="O44" s="80"/>
      <c r="P44" s="80"/>
      <c r="Q44" s="80"/>
      <c r="R44" s="79"/>
      <c r="S44" s="79"/>
      <c r="T44" s="80"/>
      <c r="U44" s="80"/>
      <c r="V44" s="80"/>
    </row>
    <row r="45" spans="1:24">
      <c r="A45" s="79"/>
      <c r="B45" s="80"/>
      <c r="C45" s="80"/>
      <c r="D45" s="80"/>
      <c r="E45" s="80"/>
      <c r="F45" s="79"/>
      <c r="G45" s="79"/>
      <c r="H45" s="80"/>
      <c r="I45" s="80"/>
      <c r="J45" s="80"/>
      <c r="K45" s="80"/>
      <c r="L45" s="79"/>
      <c r="M45" s="79"/>
      <c r="N45" s="80"/>
      <c r="O45" s="80"/>
      <c r="P45" s="80"/>
      <c r="Q45" s="80"/>
      <c r="R45" s="79"/>
      <c r="S45" s="79"/>
      <c r="T45" s="80"/>
      <c r="U45" s="80"/>
      <c r="V45" s="80"/>
    </row>
    <row r="46" spans="1:24">
      <c r="A46" s="79"/>
      <c r="B46" s="80"/>
      <c r="C46" s="80"/>
      <c r="D46" s="80"/>
      <c r="E46" s="80"/>
      <c r="F46" s="79"/>
      <c r="G46" s="79"/>
      <c r="H46" s="80"/>
      <c r="I46" s="80"/>
      <c r="J46" s="80"/>
      <c r="K46" s="80"/>
      <c r="L46" s="79"/>
      <c r="M46" s="79"/>
      <c r="N46" s="80"/>
      <c r="O46" s="80"/>
      <c r="P46" s="80"/>
      <c r="Q46" s="80"/>
      <c r="R46" s="79"/>
      <c r="S46" s="79"/>
      <c r="T46" s="80"/>
      <c r="U46" s="80"/>
      <c r="V46" s="80"/>
    </row>
    <row r="47" spans="1:24">
      <c r="A47" s="79"/>
      <c r="B47" s="80"/>
      <c r="C47" s="80"/>
      <c r="D47" s="80"/>
      <c r="E47" s="80"/>
      <c r="F47" s="79"/>
      <c r="G47" s="79"/>
      <c r="H47" s="80"/>
      <c r="I47" s="80"/>
      <c r="J47" s="80"/>
      <c r="K47" s="80"/>
      <c r="L47" s="79"/>
      <c r="M47" s="79"/>
      <c r="N47" s="80"/>
      <c r="O47" s="80"/>
      <c r="P47" s="80"/>
      <c r="Q47" s="80"/>
      <c r="R47" s="79"/>
      <c r="S47" s="79"/>
      <c r="T47" s="80"/>
      <c r="U47" s="80"/>
      <c r="V47" s="80"/>
    </row>
    <row r="48" spans="1:24">
      <c r="A48" s="79"/>
      <c r="B48" s="80"/>
      <c r="C48" s="80"/>
      <c r="D48" s="80"/>
      <c r="E48" s="80"/>
      <c r="F48" s="79"/>
      <c r="G48" s="79"/>
      <c r="H48" s="80"/>
      <c r="I48" s="80"/>
      <c r="J48" s="80"/>
      <c r="K48" s="80"/>
      <c r="L48" s="79"/>
      <c r="M48" s="79"/>
      <c r="N48" s="80"/>
      <c r="O48" s="80"/>
      <c r="P48" s="80"/>
      <c r="Q48" s="80"/>
      <c r="R48" s="79"/>
      <c r="S48" s="79"/>
      <c r="T48" s="80"/>
      <c r="U48" s="80"/>
      <c r="V48" s="80"/>
    </row>
    <row r="49" spans="1:22">
      <c r="A49" s="79"/>
      <c r="B49" s="80"/>
      <c r="C49" s="80"/>
      <c r="D49" s="80"/>
      <c r="E49" s="80"/>
      <c r="F49" s="79"/>
      <c r="G49" s="79"/>
      <c r="H49" s="80"/>
      <c r="I49" s="80"/>
      <c r="J49" s="80"/>
      <c r="K49" s="80"/>
      <c r="L49" s="79"/>
      <c r="M49" s="79"/>
      <c r="N49" s="80"/>
      <c r="O49" s="80"/>
      <c r="P49" s="80"/>
      <c r="Q49" s="80"/>
      <c r="R49" s="79"/>
      <c r="S49" s="79"/>
      <c r="T49" s="80"/>
      <c r="U49" s="80"/>
      <c r="V49" s="80"/>
    </row>
    <row r="50" spans="1:22">
      <c r="A50" s="81"/>
      <c r="B50" s="80"/>
      <c r="C50" s="80"/>
      <c r="D50" s="80"/>
      <c r="E50" s="80"/>
      <c r="F50" s="79"/>
      <c r="G50" s="81"/>
      <c r="H50" s="80"/>
      <c r="I50" s="80"/>
      <c r="J50" s="80"/>
      <c r="K50" s="80"/>
      <c r="L50" s="79"/>
      <c r="M50" s="81"/>
      <c r="N50" s="80"/>
      <c r="O50" s="80"/>
      <c r="P50" s="80"/>
      <c r="Q50" s="80"/>
      <c r="R50" s="79"/>
      <c r="S50" s="81"/>
      <c r="T50" s="80"/>
      <c r="U50" s="80"/>
      <c r="V50" s="80"/>
    </row>
    <row r="53" spans="1:22">
      <c r="A53" s="79"/>
      <c r="B53" s="118"/>
      <c r="C53" s="118"/>
      <c r="D53" s="118"/>
      <c r="E53" s="80"/>
      <c r="F53" s="79"/>
      <c r="G53" s="79"/>
      <c r="H53" s="118"/>
      <c r="I53" s="118"/>
      <c r="J53" s="118"/>
      <c r="K53" s="80"/>
      <c r="L53" s="79"/>
      <c r="M53" s="79"/>
      <c r="N53" s="118"/>
      <c r="O53" s="118"/>
      <c r="P53" s="118"/>
      <c r="Q53" s="80"/>
      <c r="R53" s="79"/>
      <c r="S53" s="79"/>
      <c r="T53" s="118"/>
      <c r="U53" s="118"/>
      <c r="V53" s="118"/>
    </row>
    <row r="54" spans="1:22">
      <c r="A54" s="79"/>
      <c r="B54" s="80"/>
      <c r="C54" s="80"/>
      <c r="D54" s="80"/>
      <c r="E54" s="80"/>
      <c r="F54" s="79"/>
      <c r="G54" s="79"/>
      <c r="H54" s="80"/>
      <c r="I54" s="80"/>
      <c r="J54" s="80"/>
      <c r="K54" s="80"/>
      <c r="L54" s="79"/>
      <c r="M54" s="79"/>
      <c r="N54" s="80"/>
      <c r="O54" s="80"/>
      <c r="P54" s="80"/>
      <c r="Q54" s="80"/>
      <c r="R54" s="79"/>
      <c r="S54" s="79"/>
      <c r="T54" s="80"/>
      <c r="U54" s="80"/>
      <c r="V54" s="80"/>
    </row>
    <row r="55" spans="1:22">
      <c r="A55" s="79"/>
      <c r="B55" s="80"/>
      <c r="C55" s="80"/>
      <c r="D55" s="80"/>
      <c r="E55" s="80"/>
      <c r="F55" s="79"/>
      <c r="G55" s="79"/>
      <c r="H55" s="80"/>
      <c r="I55" s="80"/>
      <c r="J55" s="80"/>
      <c r="K55" s="80"/>
      <c r="L55" s="79"/>
      <c r="M55" s="79"/>
      <c r="N55" s="80"/>
      <c r="O55" s="80"/>
      <c r="P55" s="80"/>
      <c r="Q55" s="80"/>
      <c r="R55" s="79"/>
      <c r="S55" s="79"/>
      <c r="T55" s="80"/>
      <c r="U55" s="80"/>
      <c r="V55" s="80"/>
    </row>
    <row r="56" spans="1:22">
      <c r="A56" s="79"/>
      <c r="B56" s="80"/>
      <c r="C56" s="80"/>
      <c r="D56" s="80"/>
      <c r="E56" s="80"/>
      <c r="F56" s="79"/>
      <c r="G56" s="79"/>
      <c r="H56" s="80"/>
      <c r="I56" s="80"/>
      <c r="J56" s="80"/>
      <c r="K56" s="80"/>
      <c r="L56" s="79"/>
      <c r="M56" s="79"/>
      <c r="N56" s="80"/>
      <c r="O56" s="80"/>
      <c r="P56" s="80"/>
      <c r="Q56" s="80"/>
      <c r="R56" s="79"/>
      <c r="S56" s="79"/>
      <c r="T56" s="80"/>
      <c r="U56" s="80"/>
      <c r="V56" s="80"/>
    </row>
    <row r="57" spans="1:22">
      <c r="A57" s="79"/>
      <c r="B57" s="80"/>
      <c r="C57" s="80"/>
      <c r="D57" s="80"/>
      <c r="E57" s="80"/>
      <c r="F57" s="79"/>
      <c r="G57" s="79"/>
      <c r="H57" s="80"/>
      <c r="I57" s="80"/>
      <c r="J57" s="80"/>
      <c r="K57" s="80"/>
      <c r="L57" s="79"/>
      <c r="M57" s="79"/>
      <c r="N57" s="80"/>
      <c r="O57" s="80"/>
      <c r="P57" s="80"/>
      <c r="Q57" s="80"/>
      <c r="R57" s="79"/>
      <c r="S57" s="79"/>
      <c r="T57" s="80"/>
      <c r="U57" s="80"/>
      <c r="V57" s="80"/>
    </row>
    <row r="58" spans="1:22">
      <c r="A58" s="79"/>
      <c r="B58" s="80"/>
      <c r="C58" s="80"/>
      <c r="D58" s="80"/>
      <c r="E58" s="80"/>
      <c r="F58" s="79"/>
      <c r="G58" s="79"/>
      <c r="H58" s="80"/>
      <c r="I58" s="80"/>
      <c r="J58" s="80"/>
      <c r="K58" s="80"/>
      <c r="L58" s="79"/>
      <c r="M58" s="79"/>
      <c r="N58" s="80"/>
      <c r="O58" s="80"/>
      <c r="P58" s="80"/>
      <c r="Q58" s="80"/>
      <c r="R58" s="79"/>
      <c r="S58" s="79"/>
      <c r="T58" s="80"/>
      <c r="U58" s="80"/>
      <c r="V58" s="80"/>
    </row>
    <row r="59" spans="1:22">
      <c r="A59" s="79"/>
      <c r="B59" s="80"/>
      <c r="C59" s="80"/>
      <c r="D59" s="80"/>
      <c r="E59" s="80"/>
      <c r="F59" s="79"/>
      <c r="G59" s="79"/>
      <c r="H59" s="80"/>
      <c r="I59" s="80"/>
      <c r="J59" s="80"/>
      <c r="K59" s="80"/>
      <c r="L59" s="79"/>
      <c r="M59" s="79"/>
      <c r="N59" s="80"/>
      <c r="O59" s="80"/>
      <c r="P59" s="80"/>
      <c r="Q59" s="80"/>
      <c r="R59" s="79"/>
      <c r="S59" s="79"/>
      <c r="T59" s="80"/>
      <c r="U59" s="80"/>
      <c r="V59" s="80"/>
    </row>
    <row r="60" spans="1:22">
      <c r="A60" s="81"/>
      <c r="B60" s="80"/>
      <c r="C60" s="80"/>
      <c r="D60" s="80"/>
      <c r="E60" s="80"/>
      <c r="F60" s="79"/>
      <c r="G60" s="81"/>
      <c r="H60" s="80"/>
      <c r="I60" s="80"/>
      <c r="J60" s="80"/>
      <c r="K60" s="80"/>
      <c r="L60" s="79"/>
      <c r="M60" s="81"/>
      <c r="N60" s="80"/>
      <c r="O60" s="80"/>
      <c r="P60" s="80"/>
      <c r="Q60" s="80"/>
      <c r="R60" s="79"/>
      <c r="S60" s="81"/>
      <c r="T60" s="80"/>
      <c r="U60" s="80"/>
      <c r="V60" s="80"/>
    </row>
  </sheetData>
  <mergeCells count="23">
    <mergeCell ref="B3:D3"/>
    <mergeCell ref="H3:J3"/>
    <mergeCell ref="N3:P3"/>
    <mergeCell ref="T3:V3"/>
    <mergeCell ref="B13:D13"/>
    <mergeCell ref="H13:J13"/>
    <mergeCell ref="N13:P13"/>
    <mergeCell ref="T13:V13"/>
    <mergeCell ref="B23:D23"/>
    <mergeCell ref="H23:J23"/>
    <mergeCell ref="N23:P23"/>
    <mergeCell ref="T23:V23"/>
    <mergeCell ref="B33:D33"/>
    <mergeCell ref="H33:J33"/>
    <mergeCell ref="N33:P33"/>
    <mergeCell ref="T33:V33"/>
    <mergeCell ref="B43:D43"/>
    <mergeCell ref="N43:P43"/>
    <mergeCell ref="T43:V43"/>
    <mergeCell ref="B53:D53"/>
    <mergeCell ref="H53:J53"/>
    <mergeCell ref="N53:P53"/>
    <mergeCell ref="T53:V53"/>
  </mergeCells>
  <phoneticPr fontId="9"/>
  <pageMargins left="0.7" right="0.7" top="0.75" bottom="0.75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1C37-F629-42A3-9950-10A521C6804C}">
  <dimension ref="A2:AJ96"/>
  <sheetViews>
    <sheetView view="pageBreakPreview" topLeftCell="A40" zoomScale="60" zoomScaleNormal="74" workbookViewId="0">
      <selection activeCell="K51" sqref="K51"/>
    </sheetView>
  </sheetViews>
  <sheetFormatPr defaultRowHeight="12.75"/>
  <cols>
    <col min="1" max="1" width="4.86328125" bestFit="1" customWidth="1"/>
    <col min="5" max="5" width="9.6640625" customWidth="1"/>
    <col min="6" max="6" width="9.73046875" customWidth="1"/>
    <col min="7" max="7" width="4.86328125" bestFit="1" customWidth="1"/>
    <col min="19" max="19" width="4.86328125" bestFit="1" customWidth="1"/>
    <col min="25" max="25" width="4.86328125" bestFit="1" customWidth="1"/>
  </cols>
  <sheetData>
    <row r="2" spans="1:36" ht="13.15" thickBot="1"/>
    <row r="3" spans="1:36">
      <c r="A3" s="84"/>
      <c r="B3" s="141" t="s">
        <v>263</v>
      </c>
      <c r="C3" s="141"/>
      <c r="D3" s="141"/>
      <c r="E3" s="86"/>
      <c r="F3" s="86"/>
      <c r="G3" s="84"/>
      <c r="H3" s="141" t="s">
        <v>263</v>
      </c>
      <c r="I3" s="141"/>
      <c r="J3" s="141"/>
      <c r="K3" s="86"/>
      <c r="L3" s="100"/>
      <c r="M3" s="86"/>
      <c r="N3" s="141" t="s">
        <v>263</v>
      </c>
      <c r="O3" s="141"/>
      <c r="P3" s="141"/>
      <c r="Q3" s="86"/>
      <c r="R3" s="86"/>
      <c r="S3" s="102"/>
      <c r="T3" s="141" t="s">
        <v>263</v>
      </c>
      <c r="U3" s="141"/>
      <c r="V3" s="141"/>
      <c r="W3" s="87"/>
      <c r="X3" s="100"/>
      <c r="Y3" s="84"/>
      <c r="Z3" s="141" t="s">
        <v>263</v>
      </c>
      <c r="AA3" s="141"/>
      <c r="AB3" s="141"/>
      <c r="AC3" s="87"/>
      <c r="AD3" s="88"/>
      <c r="AE3" s="86"/>
      <c r="AF3" s="141" t="s">
        <v>514</v>
      </c>
      <c r="AG3" s="141"/>
      <c r="AH3" s="141"/>
      <c r="AI3" s="87"/>
      <c r="AJ3" s="88"/>
    </row>
    <row r="4" spans="1:36">
      <c r="A4" s="89"/>
      <c r="B4" s="82" t="s">
        <v>334</v>
      </c>
      <c r="C4" s="82" t="s">
        <v>267</v>
      </c>
      <c r="D4" s="82" t="s">
        <v>274</v>
      </c>
      <c r="E4" s="82" t="s">
        <v>436</v>
      </c>
      <c r="F4" s="82" t="s">
        <v>437</v>
      </c>
      <c r="G4" s="89"/>
      <c r="H4" s="82" t="s">
        <v>334</v>
      </c>
      <c r="I4" s="82" t="s">
        <v>267</v>
      </c>
      <c r="J4" s="82" t="s">
        <v>274</v>
      </c>
      <c r="K4" s="82" t="s">
        <v>436</v>
      </c>
      <c r="L4" s="90" t="s">
        <v>437</v>
      </c>
      <c r="M4" s="83"/>
      <c r="N4" s="82" t="s">
        <v>334</v>
      </c>
      <c r="O4" s="82" t="s">
        <v>267</v>
      </c>
      <c r="P4" s="82" t="s">
        <v>274</v>
      </c>
      <c r="Q4" s="82" t="s">
        <v>436</v>
      </c>
      <c r="R4" s="82" t="s">
        <v>437</v>
      </c>
      <c r="S4" s="89"/>
      <c r="T4" s="82" t="s">
        <v>334</v>
      </c>
      <c r="U4" s="82" t="s">
        <v>267</v>
      </c>
      <c r="V4" s="82" t="s">
        <v>274</v>
      </c>
      <c r="W4" s="82" t="s">
        <v>436</v>
      </c>
      <c r="X4" s="90" t="s">
        <v>437</v>
      </c>
      <c r="Y4" s="89"/>
      <c r="Z4" s="82" t="s">
        <v>334</v>
      </c>
      <c r="AA4" s="82" t="s">
        <v>267</v>
      </c>
      <c r="AB4" s="82" t="s">
        <v>274</v>
      </c>
      <c r="AC4" s="82" t="s">
        <v>436</v>
      </c>
      <c r="AD4" s="90" t="s">
        <v>437</v>
      </c>
      <c r="AE4" s="83"/>
      <c r="AF4" s="82" t="s">
        <v>334</v>
      </c>
      <c r="AG4" s="82" t="s">
        <v>267</v>
      </c>
      <c r="AH4" s="82" t="s">
        <v>274</v>
      </c>
      <c r="AI4" s="82" t="s">
        <v>436</v>
      </c>
      <c r="AJ4" s="90" t="s">
        <v>437</v>
      </c>
    </row>
    <row r="5" spans="1:36">
      <c r="A5" s="89">
        <v>1</v>
      </c>
      <c r="B5" s="82" t="s">
        <v>389</v>
      </c>
      <c r="C5" s="82" t="s">
        <v>384</v>
      </c>
      <c r="D5" s="82" t="s">
        <v>416</v>
      </c>
      <c r="E5" s="82" t="s">
        <v>389</v>
      </c>
      <c r="F5" s="82"/>
      <c r="G5" s="89">
        <v>1</v>
      </c>
      <c r="H5" s="82" t="s">
        <v>499</v>
      </c>
      <c r="I5" s="82" t="s">
        <v>362</v>
      </c>
      <c r="J5" s="82" t="s">
        <v>404</v>
      </c>
      <c r="K5" s="82" t="s">
        <v>404</v>
      </c>
      <c r="L5" s="90"/>
      <c r="M5" s="83">
        <v>1</v>
      </c>
      <c r="N5" s="82" t="s">
        <v>336</v>
      </c>
      <c r="O5" s="82" t="s">
        <v>429</v>
      </c>
      <c r="P5" s="82" t="s">
        <v>394</v>
      </c>
      <c r="Q5" s="82"/>
      <c r="R5" s="82"/>
      <c r="S5" s="89">
        <v>1</v>
      </c>
      <c r="T5" s="82" t="s">
        <v>353</v>
      </c>
      <c r="U5" s="82" t="s">
        <v>410</v>
      </c>
      <c r="V5" s="82" t="s">
        <v>415</v>
      </c>
      <c r="W5" s="82"/>
      <c r="X5" s="90"/>
      <c r="Y5" s="89">
        <v>1</v>
      </c>
      <c r="Z5" s="82" t="s">
        <v>420</v>
      </c>
      <c r="AA5" s="82" t="s">
        <v>269</v>
      </c>
      <c r="AB5" s="82" t="s">
        <v>349</v>
      </c>
      <c r="AC5" s="82"/>
      <c r="AD5" s="90"/>
      <c r="AE5" s="83">
        <v>1</v>
      </c>
      <c r="AF5" s="82" t="s">
        <v>427</v>
      </c>
      <c r="AG5" s="82" t="s">
        <v>446</v>
      </c>
      <c r="AH5" s="82"/>
      <c r="AI5" s="82"/>
      <c r="AJ5" s="90"/>
    </row>
    <row r="6" spans="1:36">
      <c r="A6" s="89">
        <v>2</v>
      </c>
      <c r="B6" s="82" t="s">
        <v>378</v>
      </c>
      <c r="C6" s="82" t="s">
        <v>385</v>
      </c>
      <c r="D6" s="82" t="s">
        <v>363</v>
      </c>
      <c r="E6" s="82" t="s">
        <v>385</v>
      </c>
      <c r="F6" s="82"/>
      <c r="G6" s="89">
        <v>2</v>
      </c>
      <c r="H6" s="82" t="s">
        <v>442</v>
      </c>
      <c r="I6" s="82" t="s">
        <v>358</v>
      </c>
      <c r="J6" s="82" t="s">
        <v>365</v>
      </c>
      <c r="K6" s="82"/>
      <c r="L6" s="90"/>
      <c r="M6" s="83">
        <v>2</v>
      </c>
      <c r="N6" s="82" t="s">
        <v>337</v>
      </c>
      <c r="O6" s="82" t="s">
        <v>513</v>
      </c>
      <c r="P6" s="82" t="s">
        <v>348</v>
      </c>
      <c r="Q6" s="82"/>
      <c r="R6" s="82"/>
      <c r="S6" s="89">
        <v>2</v>
      </c>
      <c r="T6" s="82" t="s">
        <v>406</v>
      </c>
      <c r="U6" s="82" t="s">
        <v>402</v>
      </c>
      <c r="V6" s="82" t="s">
        <v>403</v>
      </c>
      <c r="W6" s="82" t="s">
        <v>403</v>
      </c>
      <c r="X6" s="90"/>
      <c r="Y6" s="89">
        <v>2</v>
      </c>
      <c r="Z6" s="82" t="s">
        <v>339</v>
      </c>
      <c r="AA6" s="82" t="s">
        <v>454</v>
      </c>
      <c r="AB6" s="82" t="s">
        <v>343</v>
      </c>
      <c r="AC6" s="82"/>
      <c r="AD6" s="90"/>
      <c r="AE6" s="83">
        <v>2</v>
      </c>
      <c r="AF6" s="82" t="s">
        <v>457</v>
      </c>
      <c r="AG6" s="82"/>
      <c r="AH6" s="82"/>
      <c r="AI6" s="82"/>
      <c r="AJ6" s="90"/>
    </row>
    <row r="7" spans="1:36">
      <c r="A7" s="89">
        <v>3</v>
      </c>
      <c r="B7" s="82" t="s">
        <v>407</v>
      </c>
      <c r="C7" s="82" t="s">
        <v>382</v>
      </c>
      <c r="D7" s="82" t="s">
        <v>422</v>
      </c>
      <c r="E7" s="82"/>
      <c r="F7" s="82"/>
      <c r="G7" s="89">
        <v>3</v>
      </c>
      <c r="H7" s="82" t="s">
        <v>351</v>
      </c>
      <c r="I7" s="82" t="s">
        <v>359</v>
      </c>
      <c r="J7" s="82" t="s">
        <v>357</v>
      </c>
      <c r="K7" s="82" t="s">
        <v>351</v>
      </c>
      <c r="L7" s="90"/>
      <c r="M7" s="83">
        <v>3</v>
      </c>
      <c r="N7" s="82" t="s">
        <v>419</v>
      </c>
      <c r="O7" s="82" t="s">
        <v>424</v>
      </c>
      <c r="P7" s="82" t="s">
        <v>340</v>
      </c>
      <c r="Q7" s="82" t="s">
        <v>340</v>
      </c>
      <c r="R7" s="82"/>
      <c r="S7" s="89">
        <v>3</v>
      </c>
      <c r="T7" s="82" t="s">
        <v>409</v>
      </c>
      <c r="U7" s="82" t="s">
        <v>411</v>
      </c>
      <c r="V7" s="82" t="s">
        <v>374</v>
      </c>
      <c r="W7" s="82"/>
      <c r="X7" s="90"/>
      <c r="Y7" s="89">
        <v>3</v>
      </c>
      <c r="Z7" s="82" t="s">
        <v>457</v>
      </c>
      <c r="AA7" s="82" t="s">
        <v>259</v>
      </c>
      <c r="AB7" s="82" t="s">
        <v>503</v>
      </c>
      <c r="AC7" s="82"/>
      <c r="AD7" s="90"/>
      <c r="AE7" s="83">
        <v>3</v>
      </c>
      <c r="AF7" s="82"/>
      <c r="AG7" s="82"/>
      <c r="AH7" s="82"/>
      <c r="AI7" s="82"/>
      <c r="AJ7" s="90"/>
    </row>
    <row r="8" spans="1:36">
      <c r="A8" s="89">
        <v>4</v>
      </c>
      <c r="B8" s="82" t="s">
        <v>481</v>
      </c>
      <c r="C8" s="82" t="s">
        <v>390</v>
      </c>
      <c r="D8" s="82" t="s">
        <v>388</v>
      </c>
      <c r="E8" s="82"/>
      <c r="F8" s="82"/>
      <c r="G8" s="89">
        <v>4</v>
      </c>
      <c r="H8" s="82" t="s">
        <v>471</v>
      </c>
      <c r="I8" s="82" t="s">
        <v>418</v>
      </c>
      <c r="J8" s="82" t="s">
        <v>366</v>
      </c>
      <c r="K8" s="82"/>
      <c r="L8" s="90"/>
      <c r="M8" s="83">
        <v>4</v>
      </c>
      <c r="N8" s="82" t="s">
        <v>367</v>
      </c>
      <c r="O8" s="82" t="s">
        <v>412</v>
      </c>
      <c r="P8" s="82" t="s">
        <v>342</v>
      </c>
      <c r="Q8" s="82" t="s">
        <v>367</v>
      </c>
      <c r="R8" s="82"/>
      <c r="S8" s="89">
        <v>4</v>
      </c>
      <c r="T8" s="82" t="s">
        <v>400</v>
      </c>
      <c r="U8" s="82" t="s">
        <v>484</v>
      </c>
      <c r="V8" s="82" t="s">
        <v>444</v>
      </c>
      <c r="W8" s="82"/>
      <c r="X8" s="90"/>
      <c r="Y8" s="89">
        <v>4</v>
      </c>
      <c r="Z8" s="82"/>
      <c r="AA8" s="82" t="s">
        <v>448</v>
      </c>
      <c r="AB8" s="82" t="s">
        <v>458</v>
      </c>
      <c r="AC8" s="82"/>
      <c r="AD8" s="90"/>
      <c r="AE8" s="83">
        <v>4</v>
      </c>
      <c r="AF8" s="82"/>
      <c r="AG8" s="82"/>
      <c r="AH8" s="82"/>
      <c r="AI8" s="82"/>
      <c r="AJ8" s="90"/>
    </row>
    <row r="9" spans="1:36">
      <c r="A9" s="89">
        <v>5</v>
      </c>
      <c r="B9" s="82" t="s">
        <v>380</v>
      </c>
      <c r="C9" s="82" t="s">
        <v>386</v>
      </c>
      <c r="D9" s="82" t="s">
        <v>417</v>
      </c>
      <c r="E9" s="82" t="s">
        <v>417</v>
      </c>
      <c r="F9" s="82"/>
      <c r="G9" s="89">
        <v>5</v>
      </c>
      <c r="H9" s="82" t="s">
        <v>398</v>
      </c>
      <c r="I9" s="82" t="s">
        <v>356</v>
      </c>
      <c r="J9" s="82" t="s">
        <v>405</v>
      </c>
      <c r="K9" s="82"/>
      <c r="L9" s="90"/>
      <c r="M9" s="83">
        <v>5</v>
      </c>
      <c r="N9" s="82" t="s">
        <v>413</v>
      </c>
      <c r="O9" s="82" t="s">
        <v>443</v>
      </c>
      <c r="P9" s="82" t="s">
        <v>372</v>
      </c>
      <c r="Q9" s="82"/>
      <c r="R9" s="82"/>
      <c r="S9" s="89">
        <v>5</v>
      </c>
      <c r="T9" s="82" t="s">
        <v>435</v>
      </c>
      <c r="U9" s="82" t="s">
        <v>373</v>
      </c>
      <c r="V9" s="82" t="s">
        <v>270</v>
      </c>
      <c r="W9" s="82" t="s">
        <v>435</v>
      </c>
      <c r="X9" s="90"/>
      <c r="Y9" s="89">
        <v>5</v>
      </c>
      <c r="Z9" s="82"/>
      <c r="AA9" s="82"/>
      <c r="AB9" s="82" t="s">
        <v>515</v>
      </c>
      <c r="AC9" s="82"/>
      <c r="AD9" s="90"/>
      <c r="AE9" s="83">
        <v>5</v>
      </c>
      <c r="AF9" s="82"/>
      <c r="AG9" s="82"/>
      <c r="AH9" s="82"/>
      <c r="AI9" s="82"/>
      <c r="AJ9" s="90"/>
    </row>
    <row r="10" spans="1:36">
      <c r="A10" s="91" t="s">
        <v>335</v>
      </c>
      <c r="B10" s="82" t="s">
        <v>369</v>
      </c>
      <c r="C10" s="82" t="s">
        <v>370</v>
      </c>
      <c r="D10" s="82" t="s">
        <v>376</v>
      </c>
      <c r="E10" s="82"/>
      <c r="F10" s="82"/>
      <c r="G10" s="91" t="s">
        <v>335</v>
      </c>
      <c r="H10" s="82" t="s">
        <v>397</v>
      </c>
      <c r="I10" s="82" t="s">
        <v>387</v>
      </c>
      <c r="J10" s="82" t="s">
        <v>361</v>
      </c>
      <c r="K10" s="82"/>
      <c r="L10" s="90"/>
      <c r="M10" s="92" t="s">
        <v>335</v>
      </c>
      <c r="N10" s="82" t="s">
        <v>381</v>
      </c>
      <c r="O10" s="82"/>
      <c r="P10" s="82" t="s">
        <v>426</v>
      </c>
      <c r="Q10" s="82"/>
      <c r="R10" s="82"/>
      <c r="S10" s="91" t="s">
        <v>335</v>
      </c>
      <c r="T10" s="82" t="s">
        <v>502</v>
      </c>
      <c r="U10" s="82"/>
      <c r="V10" s="82"/>
      <c r="W10" s="82"/>
      <c r="X10" s="90"/>
      <c r="Y10" s="91" t="s">
        <v>335</v>
      </c>
      <c r="Z10" s="82" t="s">
        <v>368</v>
      </c>
      <c r="AA10" s="82"/>
      <c r="AB10" s="82"/>
      <c r="AC10" s="82"/>
      <c r="AD10" s="90"/>
      <c r="AE10" s="92" t="s">
        <v>335</v>
      </c>
      <c r="AF10" s="82"/>
      <c r="AG10" s="82"/>
      <c r="AH10" s="82"/>
      <c r="AI10" s="82"/>
      <c r="AJ10" s="90"/>
    </row>
    <row r="11" spans="1:36">
      <c r="A11" s="89"/>
      <c r="B11" s="140"/>
      <c r="C11" s="140"/>
      <c r="D11" s="140"/>
      <c r="E11" s="82"/>
      <c r="F11" s="82"/>
      <c r="G11" s="89"/>
      <c r="H11" s="82"/>
      <c r="I11" s="82"/>
      <c r="J11" s="82"/>
      <c r="K11" s="82"/>
      <c r="L11" s="90"/>
      <c r="M11" s="83"/>
      <c r="N11" s="82"/>
      <c r="O11" s="82"/>
      <c r="P11" s="82"/>
      <c r="Q11" s="82"/>
      <c r="R11" s="82"/>
      <c r="S11" s="103"/>
      <c r="T11" s="93"/>
      <c r="U11" s="93"/>
      <c r="V11" s="82"/>
      <c r="W11" s="93"/>
      <c r="X11" s="94"/>
      <c r="Y11" s="103"/>
      <c r="Z11" s="93"/>
      <c r="AA11" s="93"/>
      <c r="AB11" s="93"/>
      <c r="AC11" s="93"/>
      <c r="AD11" s="94"/>
      <c r="AE11" s="93"/>
      <c r="AF11" s="93"/>
      <c r="AG11" s="93"/>
      <c r="AH11" s="93"/>
      <c r="AI11" s="93"/>
      <c r="AJ11" s="94"/>
    </row>
    <row r="12" spans="1:36">
      <c r="A12" s="89"/>
      <c r="B12" s="140" t="s">
        <v>477</v>
      </c>
      <c r="C12" s="140"/>
      <c r="D12" s="140"/>
      <c r="E12" s="82"/>
      <c r="F12" s="82"/>
      <c r="G12" s="89"/>
      <c r="H12" s="140" t="s">
        <v>477</v>
      </c>
      <c r="I12" s="140"/>
      <c r="J12" s="140"/>
      <c r="K12" s="82"/>
      <c r="L12" s="90"/>
      <c r="M12" s="83"/>
      <c r="N12" s="140" t="s">
        <v>479</v>
      </c>
      <c r="O12" s="140"/>
      <c r="P12" s="140"/>
      <c r="Q12" s="82"/>
      <c r="R12" s="82"/>
      <c r="S12" s="89"/>
      <c r="T12" s="140" t="s">
        <v>479</v>
      </c>
      <c r="U12" s="140"/>
      <c r="V12" s="140"/>
      <c r="W12" s="93"/>
      <c r="X12" s="94"/>
      <c r="Y12" s="89"/>
      <c r="Z12" s="140" t="s">
        <v>290</v>
      </c>
      <c r="AA12" s="140"/>
      <c r="AB12" s="140"/>
      <c r="AC12" s="93"/>
      <c r="AD12" s="94"/>
      <c r="AE12" s="93"/>
      <c r="AF12" s="93"/>
      <c r="AG12" s="93"/>
      <c r="AH12" s="93"/>
      <c r="AI12" s="93"/>
      <c r="AJ12" s="94"/>
    </row>
    <row r="13" spans="1:36">
      <c r="A13" s="89">
        <v>1</v>
      </c>
      <c r="B13" s="82" t="s">
        <v>353</v>
      </c>
      <c r="C13" s="82" t="s">
        <v>363</v>
      </c>
      <c r="D13" s="82"/>
      <c r="E13" s="82" t="s">
        <v>363</v>
      </c>
      <c r="F13" s="82"/>
      <c r="G13" s="89">
        <v>1</v>
      </c>
      <c r="H13" s="82" t="s">
        <v>377</v>
      </c>
      <c r="I13" s="82" t="s">
        <v>384</v>
      </c>
      <c r="J13" s="82" t="s">
        <v>395</v>
      </c>
      <c r="K13" s="82"/>
      <c r="L13" s="90"/>
      <c r="M13" s="83">
        <v>1</v>
      </c>
      <c r="N13" s="82" t="s">
        <v>337</v>
      </c>
      <c r="O13" s="82" t="s">
        <v>429</v>
      </c>
      <c r="P13" s="82" t="s">
        <v>394</v>
      </c>
      <c r="Q13" s="82"/>
      <c r="R13" s="82"/>
      <c r="S13" s="89">
        <v>1</v>
      </c>
      <c r="T13" s="82" t="s">
        <v>420</v>
      </c>
      <c r="U13" s="82" t="s">
        <v>269</v>
      </c>
      <c r="V13" s="82" t="s">
        <v>349</v>
      </c>
      <c r="W13" s="93"/>
      <c r="X13" s="90"/>
      <c r="Y13" s="89">
        <v>1</v>
      </c>
      <c r="Z13" s="82"/>
      <c r="AA13" s="82"/>
      <c r="AB13" s="82" t="s">
        <v>403</v>
      </c>
      <c r="AC13" s="93"/>
      <c r="AD13" s="94"/>
      <c r="AE13" s="93"/>
      <c r="AF13" s="93"/>
      <c r="AG13" s="93"/>
      <c r="AH13" s="93"/>
      <c r="AI13" s="93"/>
      <c r="AJ13" s="94"/>
    </row>
    <row r="14" spans="1:36">
      <c r="A14" s="89">
        <v>2</v>
      </c>
      <c r="B14" s="82" t="s">
        <v>401</v>
      </c>
      <c r="C14" s="82" t="s">
        <v>392</v>
      </c>
      <c r="D14" s="82" t="s">
        <v>444</v>
      </c>
      <c r="E14" s="82"/>
      <c r="F14" s="82" t="s">
        <v>446</v>
      </c>
      <c r="G14" s="89">
        <v>2</v>
      </c>
      <c r="H14" s="82" t="s">
        <v>502</v>
      </c>
      <c r="I14" s="82" t="s">
        <v>382</v>
      </c>
      <c r="J14" s="82" t="s">
        <v>389</v>
      </c>
      <c r="K14" s="82" t="s">
        <v>389</v>
      </c>
      <c r="L14" s="90"/>
      <c r="M14" s="83">
        <v>2</v>
      </c>
      <c r="N14" s="82" t="s">
        <v>409</v>
      </c>
      <c r="O14" s="82" t="s">
        <v>373</v>
      </c>
      <c r="P14" s="82" t="s">
        <v>348</v>
      </c>
      <c r="Q14" s="82"/>
      <c r="R14" s="82"/>
      <c r="S14" s="89">
        <v>2</v>
      </c>
      <c r="T14" s="82" t="s">
        <v>406</v>
      </c>
      <c r="U14" s="82" t="s">
        <v>259</v>
      </c>
      <c r="V14" s="82" t="s">
        <v>343</v>
      </c>
      <c r="W14" s="93"/>
      <c r="X14" s="90"/>
      <c r="Y14" s="89">
        <v>2</v>
      </c>
      <c r="Z14" s="82" t="s">
        <v>407</v>
      </c>
      <c r="AA14" s="82"/>
      <c r="AB14" s="82"/>
      <c r="AC14" s="93"/>
      <c r="AD14" s="94"/>
      <c r="AE14" s="93"/>
      <c r="AF14" s="93"/>
      <c r="AG14" s="93"/>
      <c r="AH14" s="93"/>
      <c r="AI14" s="93"/>
      <c r="AJ14" s="94"/>
    </row>
    <row r="15" spans="1:36">
      <c r="A15" s="89">
        <v>3</v>
      </c>
      <c r="B15" s="82" t="s">
        <v>481</v>
      </c>
      <c r="C15" s="82" t="s">
        <v>402</v>
      </c>
      <c r="D15" s="82" t="s">
        <v>399</v>
      </c>
      <c r="E15" s="82"/>
      <c r="F15" s="82"/>
      <c r="G15" s="89">
        <v>3</v>
      </c>
      <c r="H15" s="82" t="s">
        <v>380</v>
      </c>
      <c r="I15" s="82" t="s">
        <v>441</v>
      </c>
      <c r="J15" s="82" t="s">
        <v>383</v>
      </c>
      <c r="K15" s="82"/>
      <c r="L15" s="90"/>
      <c r="M15" s="83">
        <v>3</v>
      </c>
      <c r="N15" s="82" t="s">
        <v>413</v>
      </c>
      <c r="O15" s="82" t="s">
        <v>412</v>
      </c>
      <c r="P15" s="82" t="s">
        <v>340</v>
      </c>
      <c r="Q15" s="82" t="s">
        <v>340</v>
      </c>
      <c r="R15" s="82"/>
      <c r="S15" s="89">
        <v>3</v>
      </c>
      <c r="T15" s="82" t="s">
        <v>339</v>
      </c>
      <c r="U15" s="82" t="s">
        <v>454</v>
      </c>
      <c r="V15" s="82" t="s">
        <v>458</v>
      </c>
      <c r="W15" s="82"/>
      <c r="X15" s="90"/>
      <c r="Y15" s="89">
        <v>3</v>
      </c>
      <c r="Z15" s="82"/>
      <c r="AA15" s="82"/>
      <c r="AB15" s="82"/>
      <c r="AC15" s="93"/>
      <c r="AD15" s="94"/>
      <c r="AE15" s="93"/>
      <c r="AF15" s="93"/>
      <c r="AG15" s="93"/>
      <c r="AH15" s="93"/>
      <c r="AI15" s="93"/>
      <c r="AJ15" s="94"/>
    </row>
    <row r="16" spans="1:36">
      <c r="A16" s="89">
        <v>4</v>
      </c>
      <c r="B16" s="82" t="s">
        <v>435</v>
      </c>
      <c r="C16" s="82" t="s">
        <v>390</v>
      </c>
      <c r="D16" s="82" t="s">
        <v>416</v>
      </c>
      <c r="E16" s="82" t="s">
        <v>435</v>
      </c>
      <c r="F16" s="82"/>
      <c r="G16" s="89">
        <v>4</v>
      </c>
      <c r="H16" s="82" t="s">
        <v>381</v>
      </c>
      <c r="I16" s="82" t="s">
        <v>385</v>
      </c>
      <c r="J16" s="82" t="s">
        <v>396</v>
      </c>
      <c r="K16" s="82" t="s">
        <v>385</v>
      </c>
      <c r="L16" s="90"/>
      <c r="M16" s="83">
        <v>4</v>
      </c>
      <c r="N16" s="82" t="s">
        <v>400</v>
      </c>
      <c r="O16" s="82" t="s">
        <v>375</v>
      </c>
      <c r="P16" s="82" t="s">
        <v>342</v>
      </c>
      <c r="Q16" s="82"/>
      <c r="R16" s="82"/>
      <c r="S16" s="89">
        <v>4</v>
      </c>
      <c r="T16" s="82" t="s">
        <v>367</v>
      </c>
      <c r="U16" s="82" t="s">
        <v>448</v>
      </c>
      <c r="V16" s="82" t="s">
        <v>515</v>
      </c>
      <c r="W16" s="82" t="s">
        <v>367</v>
      </c>
      <c r="X16" s="90"/>
      <c r="Y16" s="89">
        <v>4</v>
      </c>
      <c r="Z16" s="82"/>
      <c r="AA16" s="82"/>
      <c r="AB16" s="82"/>
      <c r="AC16" s="93"/>
      <c r="AD16" s="94"/>
      <c r="AE16" s="93"/>
      <c r="AF16" s="93"/>
      <c r="AG16" s="93"/>
      <c r="AH16" s="93"/>
      <c r="AI16" s="93"/>
      <c r="AJ16" s="94"/>
    </row>
    <row r="17" spans="1:36">
      <c r="A17" s="89">
        <v>5</v>
      </c>
      <c r="B17" s="82" t="s">
        <v>378</v>
      </c>
      <c r="C17" s="82" t="s">
        <v>359</v>
      </c>
      <c r="D17" s="82" t="s">
        <v>415</v>
      </c>
      <c r="E17" s="82"/>
      <c r="F17" s="82"/>
      <c r="G17" s="89">
        <v>5</v>
      </c>
      <c r="H17" s="82" t="s">
        <v>427</v>
      </c>
      <c r="I17" s="82" t="s">
        <v>266</v>
      </c>
      <c r="J17" s="82" t="s">
        <v>417</v>
      </c>
      <c r="K17" s="82" t="s">
        <v>417</v>
      </c>
      <c r="L17" s="90" t="s">
        <v>512</v>
      </c>
      <c r="M17" s="83">
        <v>5</v>
      </c>
      <c r="N17" s="82" t="s">
        <v>336</v>
      </c>
      <c r="O17" s="82" t="s">
        <v>346</v>
      </c>
      <c r="P17" s="82" t="s">
        <v>372</v>
      </c>
      <c r="Q17" s="82"/>
      <c r="R17" s="82"/>
      <c r="S17" s="89">
        <v>5</v>
      </c>
      <c r="T17" s="82" t="s">
        <v>457</v>
      </c>
      <c r="U17" s="82" t="s">
        <v>331</v>
      </c>
      <c r="V17" s="82" t="s">
        <v>366</v>
      </c>
      <c r="W17" s="82"/>
      <c r="X17" s="90" t="s">
        <v>445</v>
      </c>
      <c r="Y17" s="89">
        <v>5</v>
      </c>
      <c r="Z17" s="82"/>
      <c r="AA17" s="82"/>
      <c r="AB17" s="82"/>
      <c r="AC17" s="93"/>
      <c r="AD17" s="94"/>
      <c r="AE17" s="93"/>
      <c r="AF17" s="93"/>
      <c r="AG17" s="93"/>
      <c r="AH17" s="93"/>
      <c r="AI17" s="93"/>
      <c r="AJ17" s="94"/>
    </row>
    <row r="18" spans="1:36" ht="13.15" thickBot="1">
      <c r="A18" s="95" t="s">
        <v>335</v>
      </c>
      <c r="B18" s="96" t="s">
        <v>369</v>
      </c>
      <c r="C18" s="96" t="s">
        <v>370</v>
      </c>
      <c r="D18" s="96" t="s">
        <v>376</v>
      </c>
      <c r="E18" s="96"/>
      <c r="F18" s="96"/>
      <c r="G18" s="95" t="s">
        <v>335</v>
      </c>
      <c r="H18" s="96" t="s">
        <v>419</v>
      </c>
      <c r="I18" s="96" t="s">
        <v>414</v>
      </c>
      <c r="J18" s="96" t="s">
        <v>488</v>
      </c>
      <c r="K18" s="96"/>
      <c r="L18" s="101"/>
      <c r="M18" s="97" t="s">
        <v>335</v>
      </c>
      <c r="N18" s="96" t="s">
        <v>398</v>
      </c>
      <c r="O18" s="96" t="s">
        <v>362</v>
      </c>
      <c r="P18" s="96" t="s">
        <v>360</v>
      </c>
      <c r="Q18" s="96"/>
      <c r="R18" s="96"/>
      <c r="S18" s="95" t="s">
        <v>335</v>
      </c>
      <c r="T18" s="96" t="s">
        <v>368</v>
      </c>
      <c r="U18" s="96" t="s">
        <v>411</v>
      </c>
      <c r="V18" s="96" t="s">
        <v>357</v>
      </c>
      <c r="W18" s="96"/>
      <c r="X18" s="101"/>
      <c r="Y18" s="95" t="s">
        <v>335</v>
      </c>
      <c r="Z18" s="96"/>
      <c r="AA18" s="96" t="s">
        <v>387</v>
      </c>
      <c r="AB18" s="96" t="s">
        <v>361</v>
      </c>
      <c r="AC18" s="98"/>
      <c r="AD18" s="99"/>
      <c r="AE18" s="98"/>
      <c r="AF18" s="98"/>
      <c r="AG18" s="98"/>
      <c r="AH18" s="98"/>
      <c r="AI18" s="98"/>
      <c r="AJ18" s="99"/>
    </row>
    <row r="19" spans="1:36" ht="13.15" thickBot="1">
      <c r="A19" s="79"/>
      <c r="B19" s="118"/>
      <c r="C19" s="118"/>
      <c r="D19" s="118"/>
      <c r="E19" s="80"/>
      <c r="F19" s="80"/>
      <c r="G19" s="79"/>
      <c r="H19" s="80"/>
      <c r="I19" s="80"/>
      <c r="J19" s="80"/>
      <c r="K19" s="80"/>
      <c r="L19" s="80"/>
      <c r="M19" s="79"/>
      <c r="N19" s="80"/>
      <c r="O19" s="80"/>
      <c r="P19" s="80"/>
      <c r="Q19" s="80"/>
      <c r="R19" s="80"/>
      <c r="X19" s="80"/>
    </row>
    <row r="20" spans="1:36">
      <c r="A20" s="84"/>
      <c r="B20" s="141" t="s">
        <v>518</v>
      </c>
      <c r="C20" s="141"/>
      <c r="D20" s="141"/>
      <c r="E20" s="85" t="s">
        <v>436</v>
      </c>
      <c r="F20" s="104" t="s">
        <v>437</v>
      </c>
      <c r="G20" s="84"/>
      <c r="H20" s="141" t="s">
        <v>487</v>
      </c>
      <c r="I20" s="141"/>
      <c r="J20" s="141"/>
      <c r="K20" s="85" t="s">
        <v>436</v>
      </c>
      <c r="L20" s="104" t="s">
        <v>437</v>
      </c>
      <c r="M20" s="84"/>
      <c r="N20" s="141" t="s">
        <v>517</v>
      </c>
      <c r="O20" s="141"/>
      <c r="P20" s="141"/>
      <c r="Q20" s="85" t="s">
        <v>436</v>
      </c>
      <c r="R20" s="104" t="s">
        <v>437</v>
      </c>
      <c r="S20" s="84"/>
      <c r="T20" s="141" t="s">
        <v>517</v>
      </c>
      <c r="U20" s="141"/>
      <c r="V20" s="141"/>
      <c r="W20" s="85" t="s">
        <v>436</v>
      </c>
      <c r="X20" s="104" t="s">
        <v>437</v>
      </c>
      <c r="Y20" s="79"/>
      <c r="Z20" s="118" t="s">
        <v>282</v>
      </c>
      <c r="AA20" s="118"/>
      <c r="AB20" s="118"/>
      <c r="AC20" s="82" t="s">
        <v>436</v>
      </c>
      <c r="AD20" s="90" t="s">
        <v>437</v>
      </c>
    </row>
    <row r="21" spans="1:36">
      <c r="A21" s="89">
        <v>1</v>
      </c>
      <c r="B21" s="82" t="s">
        <v>336</v>
      </c>
      <c r="C21" s="82" t="s">
        <v>371</v>
      </c>
      <c r="D21" s="82" t="s">
        <v>340</v>
      </c>
      <c r="E21" s="82" t="s">
        <v>340</v>
      </c>
      <c r="F21" s="105"/>
      <c r="G21" s="89">
        <v>1</v>
      </c>
      <c r="H21" s="82" t="s">
        <v>442</v>
      </c>
      <c r="I21" s="82" t="s">
        <v>356</v>
      </c>
      <c r="J21" s="82" t="s">
        <v>357</v>
      </c>
      <c r="K21" s="82"/>
      <c r="L21" s="105"/>
      <c r="M21" s="89">
        <v>1</v>
      </c>
      <c r="N21" s="82" t="s">
        <v>423</v>
      </c>
      <c r="O21" s="82" t="s">
        <v>363</v>
      </c>
      <c r="P21" s="82" t="s">
        <v>396</v>
      </c>
      <c r="Q21" s="82" t="s">
        <v>363</v>
      </c>
      <c r="R21" s="105"/>
      <c r="S21" s="89">
        <v>1</v>
      </c>
      <c r="T21" s="82" t="s">
        <v>381</v>
      </c>
      <c r="U21" s="82" t="s">
        <v>402</v>
      </c>
      <c r="V21" s="82" t="s">
        <v>489</v>
      </c>
      <c r="W21" s="93"/>
      <c r="X21" s="90"/>
      <c r="Y21" s="79">
        <v>1</v>
      </c>
      <c r="Z21" s="80"/>
      <c r="AA21" s="80"/>
      <c r="AB21" s="80"/>
    </row>
    <row r="22" spans="1:36">
      <c r="A22" s="89">
        <v>2</v>
      </c>
      <c r="B22" s="82" t="s">
        <v>337</v>
      </c>
      <c r="C22" s="82" t="s">
        <v>269</v>
      </c>
      <c r="D22" s="82" t="s">
        <v>458</v>
      </c>
      <c r="E22" s="82"/>
      <c r="F22" s="105"/>
      <c r="G22" s="89">
        <v>2</v>
      </c>
      <c r="H22" s="82" t="s">
        <v>351</v>
      </c>
      <c r="I22" s="82" t="s">
        <v>358</v>
      </c>
      <c r="J22" s="82" t="s">
        <v>366</v>
      </c>
      <c r="K22" s="82" t="s">
        <v>351</v>
      </c>
      <c r="L22" s="105"/>
      <c r="M22" s="89">
        <v>2</v>
      </c>
      <c r="N22" s="82" t="s">
        <v>380</v>
      </c>
      <c r="O22" s="82" t="s">
        <v>384</v>
      </c>
      <c r="P22" s="82" t="s">
        <v>417</v>
      </c>
      <c r="Q22" s="82"/>
      <c r="R22" s="105"/>
      <c r="S22" s="89">
        <v>2</v>
      </c>
      <c r="T22" s="82" t="s">
        <v>413</v>
      </c>
      <c r="U22" s="82" t="s">
        <v>373</v>
      </c>
      <c r="V22" s="82" t="s">
        <v>383</v>
      </c>
      <c r="W22" s="93"/>
      <c r="X22" s="90"/>
      <c r="Y22" s="79">
        <v>2</v>
      </c>
      <c r="Z22" s="80"/>
      <c r="AA22" s="80"/>
      <c r="AB22" s="80"/>
    </row>
    <row r="23" spans="1:36">
      <c r="A23" s="89">
        <v>3</v>
      </c>
      <c r="B23" s="82" t="s">
        <v>367</v>
      </c>
      <c r="C23" s="82" t="s">
        <v>259</v>
      </c>
      <c r="D23" s="82" t="s">
        <v>348</v>
      </c>
      <c r="E23" s="82"/>
      <c r="F23" s="105"/>
      <c r="G23" s="89">
        <v>3</v>
      </c>
      <c r="H23" s="82" t="s">
        <v>352</v>
      </c>
      <c r="I23" s="82" t="s">
        <v>362</v>
      </c>
      <c r="J23" s="82" t="s">
        <v>365</v>
      </c>
      <c r="K23" s="82" t="s">
        <v>494</v>
      </c>
      <c r="L23" s="105"/>
      <c r="M23" s="89">
        <v>3</v>
      </c>
      <c r="N23" s="82" t="s">
        <v>378</v>
      </c>
      <c r="O23" s="82" t="s">
        <v>485</v>
      </c>
      <c r="P23" s="82" t="s">
        <v>390</v>
      </c>
      <c r="Q23" s="82"/>
      <c r="R23" s="105"/>
      <c r="S23" s="89">
        <v>3</v>
      </c>
      <c r="T23" s="82" t="s">
        <v>353</v>
      </c>
      <c r="U23" s="82" t="s">
        <v>443</v>
      </c>
      <c r="V23" s="82" t="s">
        <v>416</v>
      </c>
      <c r="W23" s="82"/>
      <c r="X23" s="90"/>
      <c r="Y23" s="79">
        <v>3</v>
      </c>
      <c r="Z23" s="80"/>
      <c r="AA23" s="80"/>
      <c r="AB23" s="80"/>
    </row>
    <row r="24" spans="1:36">
      <c r="A24" s="89">
        <v>4</v>
      </c>
      <c r="B24" s="82" t="s">
        <v>339</v>
      </c>
      <c r="C24" s="82" t="s">
        <v>346</v>
      </c>
      <c r="D24" s="82" t="s">
        <v>422</v>
      </c>
      <c r="E24" s="82"/>
      <c r="F24" s="105"/>
      <c r="G24" s="89">
        <v>4</v>
      </c>
      <c r="H24" s="82" t="s">
        <v>435</v>
      </c>
      <c r="I24" s="82" t="s">
        <v>359</v>
      </c>
      <c r="J24" s="82" t="s">
        <v>270</v>
      </c>
      <c r="K24" s="82" t="s">
        <v>435</v>
      </c>
      <c r="L24" s="105"/>
      <c r="M24" s="89">
        <v>4</v>
      </c>
      <c r="N24" s="82" t="s">
        <v>481</v>
      </c>
      <c r="O24" s="82" t="s">
        <v>385</v>
      </c>
      <c r="P24" s="82" t="s">
        <v>388</v>
      </c>
      <c r="Q24" s="82" t="s">
        <v>385</v>
      </c>
      <c r="R24" s="105"/>
      <c r="S24" s="89">
        <v>4</v>
      </c>
      <c r="T24" s="82" t="s">
        <v>401</v>
      </c>
      <c r="U24" s="82" t="s">
        <v>441</v>
      </c>
      <c r="V24" s="82" t="s">
        <v>415</v>
      </c>
      <c r="W24" s="93"/>
      <c r="X24" s="90" t="s">
        <v>446</v>
      </c>
      <c r="Y24" s="79">
        <v>4</v>
      </c>
      <c r="Z24" s="80"/>
      <c r="AA24" s="80"/>
      <c r="AB24" s="80"/>
    </row>
    <row r="25" spans="1:36">
      <c r="A25" s="89">
        <v>5</v>
      </c>
      <c r="B25" s="82" t="s">
        <v>372</v>
      </c>
      <c r="C25" s="82" t="s">
        <v>429</v>
      </c>
      <c r="D25" s="82" t="s">
        <v>342</v>
      </c>
      <c r="E25" s="82" t="s">
        <v>363</v>
      </c>
      <c r="F25" s="105"/>
      <c r="G25" s="89">
        <v>5</v>
      </c>
      <c r="H25" s="82" t="s">
        <v>354</v>
      </c>
      <c r="I25" s="82" t="s">
        <v>412</v>
      </c>
      <c r="J25" s="82" t="s">
        <v>405</v>
      </c>
      <c r="K25" s="82"/>
      <c r="L25" s="105"/>
      <c r="M25" s="89">
        <v>5</v>
      </c>
      <c r="N25" s="82" t="s">
        <v>502</v>
      </c>
      <c r="O25" s="82" t="s">
        <v>266</v>
      </c>
      <c r="P25" s="82" t="s">
        <v>389</v>
      </c>
      <c r="Q25" s="82"/>
      <c r="R25" s="105" t="s">
        <v>349</v>
      </c>
      <c r="S25" s="89">
        <v>5</v>
      </c>
      <c r="T25" s="82" t="s">
        <v>400</v>
      </c>
      <c r="U25" s="82" t="s">
        <v>331</v>
      </c>
      <c r="V25" s="82" t="s">
        <v>394</v>
      </c>
      <c r="W25" s="93"/>
      <c r="X25" s="90" t="s">
        <v>520</v>
      </c>
      <c r="Y25" s="79">
        <v>5</v>
      </c>
      <c r="Z25" s="80"/>
      <c r="AA25" s="80"/>
      <c r="AB25" s="80"/>
    </row>
    <row r="26" spans="1:36">
      <c r="A26" s="91" t="s">
        <v>335</v>
      </c>
      <c r="B26" s="82" t="s">
        <v>369</v>
      </c>
      <c r="C26" s="82" t="s">
        <v>370</v>
      </c>
      <c r="D26" s="82" t="s">
        <v>376</v>
      </c>
      <c r="E26" s="82"/>
      <c r="F26" s="105"/>
      <c r="G26" s="91" t="s">
        <v>335</v>
      </c>
      <c r="H26" s="82" t="s">
        <v>355</v>
      </c>
      <c r="I26" s="82" t="s">
        <v>418</v>
      </c>
      <c r="J26" s="82" t="s">
        <v>361</v>
      </c>
      <c r="K26" s="82"/>
      <c r="L26" s="105"/>
      <c r="M26" s="91" t="s">
        <v>335</v>
      </c>
      <c r="N26" s="82" t="s">
        <v>447</v>
      </c>
      <c r="O26" s="82" t="s">
        <v>387</v>
      </c>
      <c r="P26" s="82" t="s">
        <v>343</v>
      </c>
      <c r="Q26" s="82"/>
      <c r="R26" s="105"/>
      <c r="S26" s="91" t="s">
        <v>335</v>
      </c>
      <c r="T26" s="82" t="s">
        <v>368</v>
      </c>
      <c r="U26" s="82" t="s">
        <v>414</v>
      </c>
      <c r="V26" s="82" t="s">
        <v>428</v>
      </c>
      <c r="W26" s="93"/>
      <c r="X26" s="90"/>
      <c r="Y26" s="81" t="s">
        <v>335</v>
      </c>
      <c r="Z26" s="80"/>
      <c r="AA26" s="80"/>
      <c r="AB26" s="80"/>
    </row>
    <row r="27" spans="1:36">
      <c r="A27" s="103"/>
      <c r="B27" s="93"/>
      <c r="C27" s="93"/>
      <c r="D27" s="93"/>
      <c r="E27" s="93"/>
      <c r="F27" s="94"/>
      <c r="G27" s="103"/>
      <c r="H27" s="93"/>
      <c r="I27" s="93"/>
      <c r="J27" s="93"/>
      <c r="K27" s="93"/>
      <c r="L27" s="94"/>
      <c r="M27" s="103"/>
      <c r="N27" s="93"/>
      <c r="O27" s="93"/>
      <c r="P27" s="93"/>
      <c r="Q27" s="93"/>
      <c r="R27" s="94"/>
      <c r="S27" s="103"/>
      <c r="T27" s="93"/>
      <c r="U27" s="93"/>
      <c r="V27" s="93"/>
      <c r="W27" s="93"/>
      <c r="X27" s="90"/>
    </row>
    <row r="28" spans="1:36">
      <c r="A28" s="103"/>
      <c r="B28" s="93"/>
      <c r="C28" s="82"/>
      <c r="D28" s="93"/>
      <c r="E28" s="93"/>
      <c r="F28" s="94"/>
      <c r="G28" s="103"/>
      <c r="H28" s="93"/>
      <c r="I28" s="93"/>
      <c r="J28" s="93"/>
      <c r="K28" s="93"/>
      <c r="L28" s="94"/>
      <c r="M28" s="103"/>
      <c r="N28" s="93"/>
      <c r="O28" s="93"/>
      <c r="P28" s="93"/>
      <c r="Q28" s="93"/>
      <c r="R28" s="94"/>
      <c r="S28" s="103"/>
      <c r="T28" s="93"/>
      <c r="U28" s="93"/>
      <c r="V28" s="93"/>
      <c r="W28" s="93"/>
      <c r="X28" s="90"/>
    </row>
    <row r="29" spans="1:36">
      <c r="A29" s="89"/>
      <c r="B29" s="140" t="s">
        <v>470</v>
      </c>
      <c r="C29" s="140"/>
      <c r="D29" s="140"/>
      <c r="E29" s="83"/>
      <c r="F29" s="105"/>
      <c r="G29" s="89"/>
      <c r="H29" s="140" t="s">
        <v>480</v>
      </c>
      <c r="I29" s="140"/>
      <c r="J29" s="140"/>
      <c r="K29" s="83"/>
      <c r="L29" s="105"/>
      <c r="M29" s="89"/>
      <c r="N29" s="140" t="s">
        <v>516</v>
      </c>
      <c r="O29" s="140"/>
      <c r="P29" s="140"/>
      <c r="Q29" s="83"/>
      <c r="R29" s="90"/>
      <c r="S29" s="89"/>
      <c r="T29" s="140" t="s">
        <v>480</v>
      </c>
      <c r="U29" s="140"/>
      <c r="V29" s="140"/>
      <c r="W29" s="93"/>
      <c r="X29" s="90"/>
      <c r="Y29" s="79"/>
      <c r="Z29" s="118" t="s">
        <v>277</v>
      </c>
      <c r="AA29" s="118"/>
      <c r="AB29" s="118"/>
    </row>
    <row r="30" spans="1:36">
      <c r="A30" s="89"/>
      <c r="B30" s="82" t="s">
        <v>334</v>
      </c>
      <c r="C30" s="82" t="s">
        <v>267</v>
      </c>
      <c r="D30" s="82" t="s">
        <v>274</v>
      </c>
      <c r="E30" s="82" t="s">
        <v>436</v>
      </c>
      <c r="F30" s="90" t="s">
        <v>437</v>
      </c>
      <c r="G30" s="89"/>
      <c r="H30" s="82" t="s">
        <v>334</v>
      </c>
      <c r="I30" s="82" t="s">
        <v>267</v>
      </c>
      <c r="J30" s="82" t="s">
        <v>274</v>
      </c>
      <c r="K30" s="82" t="s">
        <v>436</v>
      </c>
      <c r="L30" s="90" t="s">
        <v>437</v>
      </c>
      <c r="M30" s="89"/>
      <c r="N30" s="82" t="s">
        <v>334</v>
      </c>
      <c r="O30" s="82" t="s">
        <v>267</v>
      </c>
      <c r="P30" s="82" t="s">
        <v>274</v>
      </c>
      <c r="Q30" s="82" t="s">
        <v>436</v>
      </c>
      <c r="R30" s="90" t="s">
        <v>437</v>
      </c>
      <c r="S30" s="89"/>
      <c r="T30" s="82" t="s">
        <v>334</v>
      </c>
      <c r="U30" s="82" t="s">
        <v>267</v>
      </c>
      <c r="V30" s="82" t="s">
        <v>274</v>
      </c>
      <c r="W30" s="82" t="s">
        <v>436</v>
      </c>
      <c r="X30" s="90" t="s">
        <v>437</v>
      </c>
      <c r="Y30" s="79"/>
      <c r="Z30" s="80" t="s">
        <v>334</v>
      </c>
      <c r="AA30" s="80" t="s">
        <v>267</v>
      </c>
      <c r="AB30" s="80" t="s">
        <v>274</v>
      </c>
      <c r="AC30" s="82" t="s">
        <v>436</v>
      </c>
      <c r="AD30" s="90" t="s">
        <v>437</v>
      </c>
    </row>
    <row r="31" spans="1:36">
      <c r="A31" s="89">
        <v>1</v>
      </c>
      <c r="B31" s="82" t="s">
        <v>336</v>
      </c>
      <c r="C31" s="82" t="s">
        <v>448</v>
      </c>
      <c r="D31" s="82" t="s">
        <v>343</v>
      </c>
      <c r="E31" s="82"/>
      <c r="F31" s="105"/>
      <c r="G31" s="89">
        <v>1</v>
      </c>
      <c r="H31" s="82" t="s">
        <v>398</v>
      </c>
      <c r="I31" s="82" t="s">
        <v>356</v>
      </c>
      <c r="J31" s="82" t="s">
        <v>365</v>
      </c>
      <c r="K31" s="82"/>
      <c r="L31" s="105"/>
      <c r="M31" s="89">
        <v>1</v>
      </c>
      <c r="N31" s="82" t="s">
        <v>377</v>
      </c>
      <c r="O31" s="82" t="s">
        <v>382</v>
      </c>
      <c r="P31" s="82" t="s">
        <v>420</v>
      </c>
      <c r="Q31" s="82"/>
      <c r="R31" s="105"/>
      <c r="S31" s="89">
        <v>1</v>
      </c>
      <c r="T31" s="82" t="s">
        <v>406</v>
      </c>
      <c r="U31" s="82" t="s">
        <v>411</v>
      </c>
      <c r="V31" s="82" t="s">
        <v>363</v>
      </c>
      <c r="W31" s="82" t="s">
        <v>363</v>
      </c>
      <c r="X31" s="90"/>
      <c r="Y31" s="79">
        <v>1</v>
      </c>
      <c r="Z31" s="80"/>
      <c r="AA31" s="80"/>
      <c r="AB31" s="80"/>
    </row>
    <row r="32" spans="1:36">
      <c r="A32" s="89">
        <v>2</v>
      </c>
      <c r="B32" s="82" t="s">
        <v>337</v>
      </c>
      <c r="C32" s="82" t="s">
        <v>375</v>
      </c>
      <c r="D32" s="82" t="s">
        <v>345</v>
      </c>
      <c r="E32" s="82"/>
      <c r="F32" s="105"/>
      <c r="G32" s="89">
        <v>2</v>
      </c>
      <c r="H32" s="82" t="s">
        <v>351</v>
      </c>
      <c r="I32" s="82" t="s">
        <v>358</v>
      </c>
      <c r="J32" s="82" t="s">
        <v>364</v>
      </c>
      <c r="K32" s="82" t="s">
        <v>351</v>
      </c>
      <c r="L32" s="105"/>
      <c r="M32" s="89">
        <v>2</v>
      </c>
      <c r="N32" s="82" t="s">
        <v>378</v>
      </c>
      <c r="O32" s="82" t="s">
        <v>384</v>
      </c>
      <c r="P32" s="82" t="s">
        <v>395</v>
      </c>
      <c r="Q32" s="82"/>
      <c r="R32" s="105"/>
      <c r="S32" s="89">
        <v>2</v>
      </c>
      <c r="T32" s="82" t="s">
        <v>413</v>
      </c>
      <c r="U32" s="82" t="s">
        <v>412</v>
      </c>
      <c r="V32" s="82" t="s">
        <v>444</v>
      </c>
      <c r="W32" s="93"/>
      <c r="X32" s="90"/>
      <c r="Y32" s="79">
        <v>2</v>
      </c>
      <c r="Z32" s="80"/>
      <c r="AA32" s="80"/>
      <c r="AB32" s="80"/>
    </row>
    <row r="33" spans="1:29">
      <c r="A33" s="89">
        <v>3</v>
      </c>
      <c r="B33" s="82" t="s">
        <v>338</v>
      </c>
      <c r="C33" s="82" t="s">
        <v>473</v>
      </c>
      <c r="D33" s="82" t="s">
        <v>348</v>
      </c>
      <c r="E33" s="82"/>
      <c r="F33" s="105"/>
      <c r="G33" s="89">
        <v>3</v>
      </c>
      <c r="H33" s="82" t="s">
        <v>399</v>
      </c>
      <c r="I33" s="82" t="s">
        <v>359</v>
      </c>
      <c r="J33" s="82" t="s">
        <v>404</v>
      </c>
      <c r="K33" s="82"/>
      <c r="L33" s="105"/>
      <c r="M33" s="89">
        <v>3</v>
      </c>
      <c r="N33" s="82" t="s">
        <v>379</v>
      </c>
      <c r="O33" s="82" t="s">
        <v>390</v>
      </c>
      <c r="P33" s="82" t="s">
        <v>388</v>
      </c>
      <c r="Q33" s="82"/>
      <c r="R33" s="105"/>
      <c r="S33" s="89">
        <v>3</v>
      </c>
      <c r="T33" s="82" t="s">
        <v>419</v>
      </c>
      <c r="U33" s="82" t="s">
        <v>414</v>
      </c>
      <c r="V33" s="82" t="s">
        <v>366</v>
      </c>
      <c r="W33" s="93"/>
      <c r="X33" s="90"/>
      <c r="Y33" s="79">
        <v>3</v>
      </c>
      <c r="Z33" s="80"/>
      <c r="AA33" s="80"/>
      <c r="AB33" s="80"/>
    </row>
    <row r="34" spans="1:29">
      <c r="A34" s="89">
        <v>4</v>
      </c>
      <c r="B34" s="82" t="s">
        <v>339</v>
      </c>
      <c r="C34" s="82" t="s">
        <v>346</v>
      </c>
      <c r="D34" s="82" t="s">
        <v>340</v>
      </c>
      <c r="E34" s="82" t="s">
        <v>340</v>
      </c>
      <c r="F34" s="105"/>
      <c r="G34" s="89">
        <v>4</v>
      </c>
      <c r="H34" s="82" t="s">
        <v>471</v>
      </c>
      <c r="I34" s="82" t="s">
        <v>410</v>
      </c>
      <c r="J34" s="82" t="s">
        <v>403</v>
      </c>
      <c r="K34" s="82" t="s">
        <v>403</v>
      </c>
      <c r="L34" s="105"/>
      <c r="M34" s="89">
        <v>4</v>
      </c>
      <c r="N34" s="82" t="s">
        <v>427</v>
      </c>
      <c r="O34" s="82" t="s">
        <v>385</v>
      </c>
      <c r="P34" s="82" t="s">
        <v>417</v>
      </c>
      <c r="Q34" s="82"/>
      <c r="R34" s="105" t="s">
        <v>512</v>
      </c>
      <c r="S34" s="89">
        <v>4</v>
      </c>
      <c r="T34" s="82" t="s">
        <v>409</v>
      </c>
      <c r="U34" s="82" t="s">
        <v>418</v>
      </c>
      <c r="V34" s="82" t="s">
        <v>415</v>
      </c>
      <c r="W34" s="93"/>
      <c r="X34" s="90"/>
      <c r="Y34" s="79">
        <v>4</v>
      </c>
      <c r="Z34" s="80"/>
      <c r="AA34" s="80"/>
      <c r="AB34" s="80"/>
    </row>
    <row r="35" spans="1:29">
      <c r="A35" s="89">
        <v>5</v>
      </c>
      <c r="B35" s="82" t="s">
        <v>400</v>
      </c>
      <c r="C35" s="82" t="s">
        <v>429</v>
      </c>
      <c r="D35" s="82" t="s">
        <v>342</v>
      </c>
      <c r="E35" s="82"/>
      <c r="F35" s="105"/>
      <c r="G35" s="89">
        <v>5</v>
      </c>
      <c r="H35" s="82" t="s">
        <v>435</v>
      </c>
      <c r="I35" s="82" t="s">
        <v>402</v>
      </c>
      <c r="J35" s="82" t="s">
        <v>374</v>
      </c>
      <c r="K35" s="82" t="s">
        <v>435</v>
      </c>
      <c r="L35" s="105"/>
      <c r="M35" s="89">
        <v>5</v>
      </c>
      <c r="N35" s="82" t="s">
        <v>380</v>
      </c>
      <c r="O35" s="82" t="s">
        <v>386</v>
      </c>
      <c r="P35" s="82" t="s">
        <v>389</v>
      </c>
      <c r="Q35" s="82" t="s">
        <v>389</v>
      </c>
      <c r="R35" s="105"/>
      <c r="S35" s="89">
        <v>5</v>
      </c>
      <c r="T35" s="82" t="s">
        <v>353</v>
      </c>
      <c r="U35" s="82" t="s">
        <v>402</v>
      </c>
      <c r="V35" s="82" t="s">
        <v>394</v>
      </c>
      <c r="W35" s="93"/>
      <c r="X35" s="90"/>
      <c r="Y35" s="79">
        <v>5</v>
      </c>
      <c r="Z35" s="80"/>
      <c r="AA35" s="80"/>
      <c r="AB35" s="80"/>
    </row>
    <row r="36" spans="1:29" ht="13.15" thickBot="1">
      <c r="A36" s="95" t="s">
        <v>335</v>
      </c>
      <c r="B36" s="96" t="s">
        <v>369</v>
      </c>
      <c r="C36" s="96" t="s">
        <v>370</v>
      </c>
      <c r="D36" s="96" t="s">
        <v>376</v>
      </c>
      <c r="E36" s="96"/>
      <c r="F36" s="106"/>
      <c r="G36" s="95" t="s">
        <v>335</v>
      </c>
      <c r="H36" s="96" t="s">
        <v>368</v>
      </c>
      <c r="I36" s="96" t="s">
        <v>362</v>
      </c>
      <c r="J36" s="96" t="s">
        <v>357</v>
      </c>
      <c r="K36" s="96"/>
      <c r="L36" s="106"/>
      <c r="M36" s="95" t="s">
        <v>335</v>
      </c>
      <c r="N36" s="96" t="s">
        <v>397</v>
      </c>
      <c r="O36" s="96" t="s">
        <v>360</v>
      </c>
      <c r="P36" s="96" t="s">
        <v>458</v>
      </c>
      <c r="Q36" s="96"/>
      <c r="R36" s="106"/>
      <c r="S36" s="95" t="s">
        <v>335</v>
      </c>
      <c r="T36" s="96" t="s">
        <v>502</v>
      </c>
      <c r="U36" s="96" t="s">
        <v>373</v>
      </c>
      <c r="V36" s="96" t="s">
        <v>381</v>
      </c>
      <c r="W36" s="98"/>
      <c r="X36" s="101"/>
      <c r="Y36" s="81" t="s">
        <v>335</v>
      </c>
      <c r="Z36" s="80"/>
      <c r="AA36" s="80"/>
      <c r="AB36" s="80"/>
    </row>
    <row r="37" spans="1:29">
      <c r="A37" s="79"/>
      <c r="B37" s="80"/>
      <c r="C37" s="80"/>
      <c r="D37" s="80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X37" s="80"/>
    </row>
    <row r="38" spans="1:29" ht="13.15" thickBot="1">
      <c r="A38" s="79"/>
      <c r="B38" s="80"/>
      <c r="C38" s="80"/>
      <c r="D38" s="80"/>
      <c r="E38" s="79"/>
      <c r="F38" s="79"/>
      <c r="G38" s="79"/>
      <c r="H38" s="79"/>
      <c r="I38" s="79"/>
      <c r="J38" s="118"/>
      <c r="K38" s="118"/>
      <c r="L38" s="118"/>
      <c r="M38" s="79"/>
      <c r="N38" s="79"/>
      <c r="O38" s="79"/>
      <c r="P38" s="79"/>
      <c r="Q38" s="79"/>
      <c r="R38" s="79"/>
      <c r="S38" s="79"/>
      <c r="T38" s="79"/>
      <c r="X38" s="80"/>
    </row>
    <row r="39" spans="1:29">
      <c r="A39" s="84"/>
      <c r="B39" s="141" t="s">
        <v>280</v>
      </c>
      <c r="C39" s="141"/>
      <c r="D39" s="141"/>
      <c r="E39" s="86"/>
      <c r="F39" s="100"/>
      <c r="G39" s="84"/>
      <c r="H39" s="141" t="s">
        <v>280</v>
      </c>
      <c r="I39" s="141"/>
      <c r="J39" s="141"/>
      <c r="K39" s="86"/>
      <c r="L39" s="100"/>
      <c r="M39" s="84"/>
      <c r="N39" s="141" t="s">
        <v>280</v>
      </c>
      <c r="O39" s="141"/>
      <c r="P39" s="141"/>
      <c r="Q39" s="86"/>
      <c r="R39" s="100"/>
      <c r="S39" s="84"/>
      <c r="T39" s="141" t="s">
        <v>524</v>
      </c>
      <c r="U39" s="141"/>
      <c r="V39" s="141"/>
      <c r="W39" s="86"/>
      <c r="X39" s="104"/>
      <c r="Y39" s="79"/>
      <c r="Z39" s="118" t="s">
        <v>280</v>
      </c>
      <c r="AA39" s="118"/>
      <c r="AB39" s="118"/>
    </row>
    <row r="40" spans="1:29">
      <c r="A40" s="89"/>
      <c r="B40" s="82" t="s">
        <v>334</v>
      </c>
      <c r="C40" s="82" t="s">
        <v>267</v>
      </c>
      <c r="D40" s="82" t="s">
        <v>274</v>
      </c>
      <c r="E40" s="83"/>
      <c r="F40" s="105"/>
      <c r="G40" s="89"/>
      <c r="H40" s="82" t="s">
        <v>334</v>
      </c>
      <c r="I40" s="82" t="s">
        <v>267</v>
      </c>
      <c r="J40" s="82" t="s">
        <v>274</v>
      </c>
      <c r="K40" s="83"/>
      <c r="L40" s="90"/>
      <c r="M40" s="89"/>
      <c r="N40" s="82" t="s">
        <v>334</v>
      </c>
      <c r="O40" s="82" t="s">
        <v>267</v>
      </c>
      <c r="P40" s="82" t="s">
        <v>274</v>
      </c>
      <c r="Q40" s="82"/>
      <c r="R40" s="90"/>
      <c r="S40" s="89"/>
      <c r="T40" s="82" t="s">
        <v>334</v>
      </c>
      <c r="U40" s="82" t="s">
        <v>267</v>
      </c>
      <c r="V40" s="82" t="s">
        <v>274</v>
      </c>
      <c r="W40" s="83"/>
      <c r="X40" s="90"/>
      <c r="Y40" s="79"/>
      <c r="Z40" s="80" t="s">
        <v>334</v>
      </c>
      <c r="AA40" s="80" t="s">
        <v>267</v>
      </c>
      <c r="AB40" s="80" t="s">
        <v>274</v>
      </c>
      <c r="AC40" s="79"/>
    </row>
    <row r="41" spans="1:29">
      <c r="A41" s="89">
        <v>1</v>
      </c>
      <c r="B41" s="82" t="s">
        <v>336</v>
      </c>
      <c r="C41" s="82" t="s">
        <v>429</v>
      </c>
      <c r="D41" s="82" t="s">
        <v>458</v>
      </c>
      <c r="E41" s="83" t="s">
        <v>363</v>
      </c>
      <c r="F41" s="105"/>
      <c r="G41" s="89">
        <v>1</v>
      </c>
      <c r="H41" s="82" t="s">
        <v>350</v>
      </c>
      <c r="I41" s="82" t="s">
        <v>356</v>
      </c>
      <c r="J41" s="82" t="s">
        <v>357</v>
      </c>
      <c r="K41" s="83"/>
      <c r="L41" s="90"/>
      <c r="M41" s="89">
        <v>1</v>
      </c>
      <c r="N41" s="82" t="s">
        <v>423</v>
      </c>
      <c r="O41" s="82" t="s">
        <v>441</v>
      </c>
      <c r="P41" s="82" t="s">
        <v>394</v>
      </c>
      <c r="Q41" s="82"/>
      <c r="R41" s="90"/>
      <c r="S41" s="89">
        <v>1</v>
      </c>
      <c r="T41" s="82" t="s">
        <v>419</v>
      </c>
      <c r="U41" s="82" t="s">
        <v>410</v>
      </c>
      <c r="V41" s="82" t="s">
        <v>404</v>
      </c>
      <c r="W41" s="83" t="s">
        <v>404</v>
      </c>
      <c r="X41" s="90"/>
      <c r="Y41" s="79">
        <v>1</v>
      </c>
      <c r="Z41" s="80" t="s">
        <v>394</v>
      </c>
      <c r="AA41" s="80" t="s">
        <v>421</v>
      </c>
      <c r="AB41" s="80" t="s">
        <v>422</v>
      </c>
      <c r="AC41" s="79"/>
    </row>
    <row r="42" spans="1:29">
      <c r="A42" s="89">
        <v>2</v>
      </c>
      <c r="B42" s="82" t="s">
        <v>337</v>
      </c>
      <c r="C42" s="82" t="s">
        <v>390</v>
      </c>
      <c r="D42" s="82" t="s">
        <v>340</v>
      </c>
      <c r="E42" s="83" t="s">
        <v>340</v>
      </c>
      <c r="F42" s="105"/>
      <c r="G42" s="89">
        <v>2</v>
      </c>
      <c r="H42" s="82" t="s">
        <v>435</v>
      </c>
      <c r="I42" s="82" t="s">
        <v>358</v>
      </c>
      <c r="J42" s="82" t="s">
        <v>366</v>
      </c>
      <c r="K42" s="83" t="s">
        <v>435</v>
      </c>
      <c r="L42" s="90"/>
      <c r="M42" s="89">
        <v>2</v>
      </c>
      <c r="N42" s="82" t="s">
        <v>380</v>
      </c>
      <c r="O42" s="82" t="s">
        <v>384</v>
      </c>
      <c r="P42" s="82" t="s">
        <v>503</v>
      </c>
      <c r="Q42" s="82"/>
      <c r="R42" s="90"/>
      <c r="S42" s="89">
        <v>2</v>
      </c>
      <c r="T42" s="82" t="s">
        <v>413</v>
      </c>
      <c r="U42" s="82" t="s">
        <v>392</v>
      </c>
      <c r="V42" s="82" t="s">
        <v>444</v>
      </c>
      <c r="W42" s="83"/>
      <c r="X42" s="90"/>
      <c r="Y42" s="79">
        <v>2</v>
      </c>
      <c r="Z42" s="80" t="s">
        <v>413</v>
      </c>
      <c r="AA42" s="80" t="s">
        <v>373</v>
      </c>
      <c r="AB42" s="80" t="s">
        <v>444</v>
      </c>
      <c r="AC42" s="79"/>
    </row>
    <row r="43" spans="1:29">
      <c r="A43" s="89">
        <v>3</v>
      </c>
      <c r="B43" s="82" t="s">
        <v>367</v>
      </c>
      <c r="C43" s="82" t="s">
        <v>448</v>
      </c>
      <c r="D43" s="82" t="s">
        <v>348</v>
      </c>
      <c r="E43" s="83" t="s">
        <v>367</v>
      </c>
      <c r="F43" s="105"/>
      <c r="G43" s="89">
        <v>3</v>
      </c>
      <c r="H43" s="82" t="s">
        <v>352</v>
      </c>
      <c r="I43" s="82" t="s">
        <v>362</v>
      </c>
      <c r="J43" s="82" t="s">
        <v>365</v>
      </c>
      <c r="K43" s="83" t="s">
        <v>494</v>
      </c>
      <c r="L43" s="90"/>
      <c r="M43" s="89">
        <v>3</v>
      </c>
      <c r="N43" s="82" t="s">
        <v>378</v>
      </c>
      <c r="O43" s="82" t="s">
        <v>485</v>
      </c>
      <c r="P43" s="82" t="s">
        <v>388</v>
      </c>
      <c r="Q43" s="82"/>
      <c r="R43" s="90"/>
      <c r="S43" s="89">
        <v>3</v>
      </c>
      <c r="T43" s="82" t="s">
        <v>353</v>
      </c>
      <c r="U43" s="82" t="s">
        <v>443</v>
      </c>
      <c r="V43" s="82" t="s">
        <v>416</v>
      </c>
      <c r="W43" s="83"/>
      <c r="X43" s="90"/>
      <c r="Y43" s="79">
        <v>3</v>
      </c>
      <c r="Z43" s="80" t="s">
        <v>419</v>
      </c>
      <c r="AA43" s="80" t="s">
        <v>392</v>
      </c>
      <c r="AB43" s="80" t="s">
        <v>416</v>
      </c>
      <c r="AC43" s="79"/>
    </row>
    <row r="44" spans="1:29">
      <c r="A44" s="89">
        <v>4</v>
      </c>
      <c r="B44" s="82" t="s">
        <v>339</v>
      </c>
      <c r="C44" s="82" t="s">
        <v>346</v>
      </c>
      <c r="D44" s="82" t="s">
        <v>417</v>
      </c>
      <c r="E44" s="83"/>
      <c r="F44" s="105"/>
      <c r="G44" s="89">
        <v>4</v>
      </c>
      <c r="H44" s="82" t="s">
        <v>398</v>
      </c>
      <c r="I44" s="82" t="s">
        <v>359</v>
      </c>
      <c r="J44" s="82" t="s">
        <v>351</v>
      </c>
      <c r="K44" s="83" t="s">
        <v>351</v>
      </c>
      <c r="L44" s="90"/>
      <c r="M44" s="89">
        <v>4</v>
      </c>
      <c r="N44" s="82" t="s">
        <v>427</v>
      </c>
      <c r="O44" s="82" t="s">
        <v>385</v>
      </c>
      <c r="P44" s="82" t="s">
        <v>383</v>
      </c>
      <c r="Q44" s="82" t="s">
        <v>385</v>
      </c>
      <c r="R44" s="90" t="s">
        <v>503</v>
      </c>
      <c r="S44" s="89">
        <v>4</v>
      </c>
      <c r="T44" s="82" t="s">
        <v>401</v>
      </c>
      <c r="U44" s="110" t="s">
        <v>402</v>
      </c>
      <c r="V44" s="82" t="s">
        <v>415</v>
      </c>
      <c r="W44" s="83"/>
      <c r="X44" s="90" t="s">
        <v>445</v>
      </c>
      <c r="Y44" s="79">
        <v>4</v>
      </c>
      <c r="Z44" s="80" t="s">
        <v>401</v>
      </c>
      <c r="AA44" s="80" t="s">
        <v>441</v>
      </c>
      <c r="AB44" s="80" t="s">
        <v>415</v>
      </c>
      <c r="AC44" s="79" t="s">
        <v>445</v>
      </c>
    </row>
    <row r="45" spans="1:29">
      <c r="A45" s="89">
        <v>5</v>
      </c>
      <c r="B45" s="82" t="s">
        <v>372</v>
      </c>
      <c r="C45" s="82" t="s">
        <v>412</v>
      </c>
      <c r="D45" s="82" t="s">
        <v>342</v>
      </c>
      <c r="E45" s="83"/>
      <c r="F45" s="105"/>
      <c r="G45" s="89">
        <v>5</v>
      </c>
      <c r="H45" s="82" t="s">
        <v>354</v>
      </c>
      <c r="I45" s="82" t="s">
        <v>261</v>
      </c>
      <c r="J45" s="82" t="s">
        <v>405</v>
      </c>
      <c r="K45" s="83"/>
      <c r="L45" s="90"/>
      <c r="M45" s="89">
        <v>5</v>
      </c>
      <c r="N45" s="82" t="s">
        <v>472</v>
      </c>
      <c r="O45" s="82" t="s">
        <v>382</v>
      </c>
      <c r="P45" s="82" t="s">
        <v>389</v>
      </c>
      <c r="Q45" s="82" t="s">
        <v>389</v>
      </c>
      <c r="R45" s="90"/>
      <c r="S45" s="89">
        <v>5</v>
      </c>
      <c r="T45" s="82" t="s">
        <v>400</v>
      </c>
      <c r="U45" s="82" t="s">
        <v>363</v>
      </c>
      <c r="V45" s="82" t="s">
        <v>374</v>
      </c>
      <c r="W45" s="83"/>
      <c r="X45" s="90"/>
      <c r="Y45" s="79">
        <v>5</v>
      </c>
      <c r="Z45" s="80" t="s">
        <v>400</v>
      </c>
      <c r="AA45" s="80" t="s">
        <v>390</v>
      </c>
      <c r="AB45" s="80" t="s">
        <v>383</v>
      </c>
      <c r="AC45" s="79"/>
    </row>
    <row r="46" spans="1:29">
      <c r="A46" s="91" t="s">
        <v>335</v>
      </c>
      <c r="B46" s="82" t="s">
        <v>369</v>
      </c>
      <c r="C46" s="82" t="s">
        <v>370</v>
      </c>
      <c r="D46" s="82" t="s">
        <v>376</v>
      </c>
      <c r="E46" s="83"/>
      <c r="F46" s="107"/>
      <c r="G46" s="91" t="s">
        <v>335</v>
      </c>
      <c r="H46" s="82" t="s">
        <v>368</v>
      </c>
      <c r="I46" s="82" t="s">
        <v>259</v>
      </c>
      <c r="J46" s="82" t="s">
        <v>361</v>
      </c>
      <c r="K46" s="92"/>
      <c r="L46" s="90"/>
      <c r="M46" s="91" t="s">
        <v>335</v>
      </c>
      <c r="N46" s="82" t="s">
        <v>381</v>
      </c>
      <c r="O46" s="82" t="s">
        <v>371</v>
      </c>
      <c r="P46" s="82" t="s">
        <v>343</v>
      </c>
      <c r="Q46" s="82"/>
      <c r="R46" s="90"/>
      <c r="S46" s="91" t="s">
        <v>335</v>
      </c>
      <c r="T46" s="82" t="s">
        <v>428</v>
      </c>
      <c r="U46" s="82" t="s">
        <v>373</v>
      </c>
      <c r="V46" s="82"/>
      <c r="W46" s="83"/>
      <c r="X46" s="90"/>
      <c r="Y46" s="81" t="s">
        <v>335</v>
      </c>
      <c r="Z46" s="80"/>
      <c r="AA46" s="80" t="s">
        <v>414</v>
      </c>
      <c r="AB46" s="80"/>
      <c r="AC46" s="79"/>
    </row>
    <row r="47" spans="1:29">
      <c r="A47" s="103"/>
      <c r="B47" s="93"/>
      <c r="C47" s="93"/>
      <c r="D47" s="93"/>
      <c r="E47" s="93"/>
      <c r="F47" s="94"/>
      <c r="G47" s="103"/>
      <c r="H47" s="93"/>
      <c r="I47" s="93"/>
      <c r="J47" s="93"/>
      <c r="K47" s="93"/>
      <c r="L47" s="94"/>
      <c r="M47" s="103"/>
      <c r="N47" s="93"/>
      <c r="O47" s="93"/>
      <c r="P47" s="93"/>
      <c r="Q47" s="93"/>
      <c r="R47" s="94"/>
      <c r="S47" s="103"/>
      <c r="T47" s="93"/>
      <c r="U47" s="93"/>
      <c r="V47" s="93"/>
      <c r="W47" s="93"/>
      <c r="X47" s="90"/>
    </row>
    <row r="48" spans="1:29">
      <c r="A48" s="103"/>
      <c r="B48" s="93"/>
      <c r="C48" s="93"/>
      <c r="D48" s="93"/>
      <c r="E48" s="93"/>
      <c r="F48" s="94"/>
      <c r="G48" s="103"/>
      <c r="H48" s="93"/>
      <c r="I48" s="93"/>
      <c r="J48" s="93"/>
      <c r="K48" s="93"/>
      <c r="L48" s="94"/>
      <c r="M48" s="103"/>
      <c r="N48" s="93"/>
      <c r="O48" s="93"/>
      <c r="P48" s="93"/>
      <c r="Q48" s="93"/>
      <c r="R48" s="94"/>
      <c r="S48" s="103"/>
      <c r="T48" s="93"/>
      <c r="U48" s="93"/>
      <c r="V48" s="93"/>
      <c r="W48" s="93"/>
      <c r="X48" s="90"/>
    </row>
    <row r="49" spans="1:29">
      <c r="A49" s="89"/>
      <c r="B49" s="140" t="s">
        <v>521</v>
      </c>
      <c r="C49" s="140"/>
      <c r="D49" s="140"/>
      <c r="E49" s="83"/>
      <c r="F49" s="105"/>
      <c r="G49" s="89"/>
      <c r="H49" s="140" t="s">
        <v>521</v>
      </c>
      <c r="I49" s="140"/>
      <c r="J49" s="140"/>
      <c r="K49" s="83"/>
      <c r="L49" s="105"/>
      <c r="M49" s="89"/>
      <c r="N49" s="140" t="s">
        <v>522</v>
      </c>
      <c r="O49" s="140"/>
      <c r="P49" s="140"/>
      <c r="Q49" s="83"/>
      <c r="R49" s="105"/>
      <c r="S49" s="89"/>
      <c r="T49" s="140" t="s">
        <v>522</v>
      </c>
      <c r="U49" s="140"/>
      <c r="V49" s="140"/>
      <c r="W49" s="83"/>
      <c r="X49" s="90"/>
      <c r="Y49" s="79"/>
      <c r="Z49" s="118" t="s">
        <v>280</v>
      </c>
      <c r="AA49" s="118"/>
      <c r="AB49" s="118"/>
    </row>
    <row r="50" spans="1:29">
      <c r="A50" s="89"/>
      <c r="B50" s="82" t="s">
        <v>334</v>
      </c>
      <c r="C50" s="82" t="s">
        <v>267</v>
      </c>
      <c r="D50" s="82" t="s">
        <v>274</v>
      </c>
      <c r="E50" s="83"/>
      <c r="F50" s="105"/>
      <c r="G50" s="89"/>
      <c r="H50" s="82" t="s">
        <v>334</v>
      </c>
      <c r="I50" s="82" t="s">
        <v>267</v>
      </c>
      <c r="J50" s="82" t="s">
        <v>274</v>
      </c>
      <c r="K50" s="83"/>
      <c r="L50" s="90"/>
      <c r="M50" s="89"/>
      <c r="N50" s="82" t="s">
        <v>334</v>
      </c>
      <c r="O50" s="82" t="s">
        <v>267</v>
      </c>
      <c r="P50" s="82" t="s">
        <v>274</v>
      </c>
      <c r="Q50" s="82"/>
      <c r="R50" s="90"/>
      <c r="S50" s="89"/>
      <c r="T50" s="82" t="s">
        <v>334</v>
      </c>
      <c r="U50" s="82" t="s">
        <v>267</v>
      </c>
      <c r="V50" s="82" t="s">
        <v>274</v>
      </c>
      <c r="W50" s="83"/>
      <c r="X50" s="90"/>
      <c r="Y50" s="79"/>
      <c r="Z50" s="80" t="s">
        <v>334</v>
      </c>
      <c r="AA50" s="80" t="s">
        <v>267</v>
      </c>
      <c r="AB50" s="80" t="s">
        <v>274</v>
      </c>
      <c r="AC50" s="79"/>
    </row>
    <row r="51" spans="1:29">
      <c r="A51" s="89">
        <v>1</v>
      </c>
      <c r="B51" s="82" t="s">
        <v>340</v>
      </c>
      <c r="C51" s="82" t="s">
        <v>371</v>
      </c>
      <c r="D51" s="82" t="s">
        <v>342</v>
      </c>
      <c r="E51" s="83" t="s">
        <v>340</v>
      </c>
      <c r="F51" s="105"/>
      <c r="G51" s="89">
        <v>1</v>
      </c>
      <c r="H51" s="82" t="s">
        <v>336</v>
      </c>
      <c r="I51" s="82" t="s">
        <v>412</v>
      </c>
      <c r="J51" s="82" t="s">
        <v>422</v>
      </c>
      <c r="K51" s="83"/>
      <c r="L51" s="90"/>
      <c r="M51" s="89">
        <v>1</v>
      </c>
      <c r="N51" s="82" t="s">
        <v>381</v>
      </c>
      <c r="O51" s="82" t="s">
        <v>384</v>
      </c>
      <c r="P51" s="82" t="s">
        <v>389</v>
      </c>
      <c r="Q51" s="82" t="s">
        <v>389</v>
      </c>
      <c r="R51" s="90"/>
      <c r="S51" s="89">
        <v>1</v>
      </c>
      <c r="T51" s="82" t="s">
        <v>406</v>
      </c>
      <c r="U51" s="82" t="s">
        <v>390</v>
      </c>
      <c r="V51" s="82" t="s">
        <v>363</v>
      </c>
      <c r="W51" s="83" t="s">
        <v>363</v>
      </c>
      <c r="X51" s="90"/>
      <c r="Y51" s="79">
        <v>1</v>
      </c>
      <c r="Z51" s="80"/>
      <c r="AA51" s="80"/>
      <c r="AB51" s="80"/>
      <c r="AC51" s="79"/>
    </row>
    <row r="52" spans="1:29">
      <c r="A52" s="89">
        <v>2</v>
      </c>
      <c r="B52" s="82" t="s">
        <v>337</v>
      </c>
      <c r="C52" s="82" t="s">
        <v>269</v>
      </c>
      <c r="D52" s="82" t="s">
        <v>458</v>
      </c>
      <c r="E52" s="83"/>
      <c r="F52" s="105"/>
      <c r="G52" s="89">
        <v>2</v>
      </c>
      <c r="H52" s="82" t="s">
        <v>401</v>
      </c>
      <c r="I52" s="82" t="s">
        <v>414</v>
      </c>
      <c r="J52" s="82" t="s">
        <v>415</v>
      </c>
      <c r="K52" s="83"/>
      <c r="L52" s="90"/>
      <c r="M52" s="89">
        <v>2</v>
      </c>
      <c r="N52" s="82" t="s">
        <v>423</v>
      </c>
      <c r="O52" s="82" t="s">
        <v>441</v>
      </c>
      <c r="P52" s="82" t="s">
        <v>501</v>
      </c>
      <c r="Q52" s="82"/>
      <c r="R52" s="90"/>
      <c r="S52" s="89">
        <v>2</v>
      </c>
      <c r="T52" s="82" t="s">
        <v>400</v>
      </c>
      <c r="U52" s="82" t="s">
        <v>411</v>
      </c>
      <c r="V52" s="82" t="s">
        <v>420</v>
      </c>
      <c r="W52" s="83"/>
      <c r="X52" s="90"/>
      <c r="Y52" s="79">
        <v>2</v>
      </c>
      <c r="Z52" s="80"/>
      <c r="AA52" s="80"/>
      <c r="AB52" s="80"/>
      <c r="AC52" s="79"/>
    </row>
    <row r="53" spans="1:29">
      <c r="A53" s="89">
        <v>3</v>
      </c>
      <c r="B53" s="82" t="s">
        <v>367</v>
      </c>
      <c r="C53" s="82" t="s">
        <v>375</v>
      </c>
      <c r="D53" s="82" t="s">
        <v>348</v>
      </c>
      <c r="E53" s="83" t="s">
        <v>367</v>
      </c>
      <c r="F53" s="105"/>
      <c r="G53" s="89">
        <v>3</v>
      </c>
      <c r="H53" s="82" t="s">
        <v>394</v>
      </c>
      <c r="I53" s="82" t="s">
        <v>448</v>
      </c>
      <c r="J53" s="82" t="s">
        <v>403</v>
      </c>
      <c r="K53" s="83"/>
      <c r="L53" s="90"/>
      <c r="M53" s="89">
        <v>3</v>
      </c>
      <c r="N53" s="82" t="s">
        <v>379</v>
      </c>
      <c r="O53" s="82" t="s">
        <v>385</v>
      </c>
      <c r="P53" s="82" t="s">
        <v>407</v>
      </c>
      <c r="Q53" s="82" t="s">
        <v>385</v>
      </c>
      <c r="R53" s="90"/>
      <c r="S53" s="89">
        <v>3</v>
      </c>
      <c r="T53" s="82" t="s">
        <v>413</v>
      </c>
      <c r="U53" s="82" t="s">
        <v>446</v>
      </c>
      <c r="V53" s="82" t="s">
        <v>503</v>
      </c>
      <c r="W53" s="83"/>
      <c r="X53" s="90"/>
      <c r="Y53" s="79">
        <v>3</v>
      </c>
      <c r="Z53" s="80"/>
      <c r="AA53" s="80"/>
      <c r="AB53" s="80"/>
      <c r="AC53" s="79"/>
    </row>
    <row r="54" spans="1:29">
      <c r="A54" s="89">
        <v>4</v>
      </c>
      <c r="B54" s="82" t="s">
        <v>339</v>
      </c>
      <c r="C54" s="82" t="s">
        <v>346</v>
      </c>
      <c r="D54" s="82" t="s">
        <v>349</v>
      </c>
      <c r="E54" s="83"/>
      <c r="F54" s="105"/>
      <c r="G54" s="89">
        <v>4</v>
      </c>
      <c r="H54" s="82" t="s">
        <v>409</v>
      </c>
      <c r="I54" s="82" t="s">
        <v>331</v>
      </c>
      <c r="J54" s="82" t="s">
        <v>515</v>
      </c>
      <c r="K54" s="83"/>
      <c r="L54" s="90" t="s">
        <v>442</v>
      </c>
      <c r="M54" s="89">
        <v>4</v>
      </c>
      <c r="N54" s="82" t="s">
        <v>427</v>
      </c>
      <c r="O54" s="82" t="s">
        <v>485</v>
      </c>
      <c r="P54" s="82" t="s">
        <v>430</v>
      </c>
      <c r="Q54" s="82"/>
      <c r="R54" s="90"/>
      <c r="S54" s="89">
        <v>4</v>
      </c>
      <c r="T54" s="82" t="s">
        <v>353</v>
      </c>
      <c r="U54" s="82" t="s">
        <v>373</v>
      </c>
      <c r="V54" s="82" t="s">
        <v>444</v>
      </c>
      <c r="W54" s="83"/>
      <c r="X54" s="90"/>
      <c r="Y54" s="79">
        <v>4</v>
      </c>
      <c r="Z54" s="80"/>
      <c r="AA54" s="80"/>
      <c r="AB54" s="80"/>
      <c r="AC54" s="79"/>
    </row>
    <row r="55" spans="1:29">
      <c r="A55" s="89">
        <v>5</v>
      </c>
      <c r="B55" s="82" t="s">
        <v>368</v>
      </c>
      <c r="C55" s="82" t="s">
        <v>259</v>
      </c>
      <c r="D55" s="82" t="s">
        <v>417</v>
      </c>
      <c r="E55" s="83" t="s">
        <v>523</v>
      </c>
      <c r="F55" s="105"/>
      <c r="G55" s="89">
        <v>5</v>
      </c>
      <c r="H55" s="82" t="s">
        <v>372</v>
      </c>
      <c r="I55" s="82" t="s">
        <v>429</v>
      </c>
      <c r="J55" s="82" t="s">
        <v>403</v>
      </c>
      <c r="K55" s="83"/>
      <c r="L55" s="90"/>
      <c r="M55" s="89">
        <v>5</v>
      </c>
      <c r="N55" s="82" t="s">
        <v>380</v>
      </c>
      <c r="O55" s="82" t="s">
        <v>392</v>
      </c>
      <c r="P55" s="82" t="s">
        <v>416</v>
      </c>
      <c r="Q55" s="82"/>
      <c r="R55" s="90"/>
      <c r="S55" s="89">
        <v>5</v>
      </c>
      <c r="T55" s="82" t="s">
        <v>435</v>
      </c>
      <c r="U55" s="82" t="s">
        <v>356</v>
      </c>
      <c r="V55" s="82" t="s">
        <v>399</v>
      </c>
      <c r="W55" s="83"/>
      <c r="X55" s="90"/>
      <c r="Y55" s="79">
        <v>5</v>
      </c>
      <c r="Z55" s="80"/>
      <c r="AA55" s="80"/>
      <c r="AB55" s="80"/>
      <c r="AC55" s="79"/>
    </row>
    <row r="56" spans="1:29" ht="13.15" thickBot="1">
      <c r="A56" s="95" t="s">
        <v>335</v>
      </c>
      <c r="B56" s="96" t="s">
        <v>398</v>
      </c>
      <c r="C56" s="96" t="s">
        <v>443</v>
      </c>
      <c r="D56" s="96" t="s">
        <v>261</v>
      </c>
      <c r="E56" s="108"/>
      <c r="F56" s="109"/>
      <c r="G56" s="95" t="s">
        <v>335</v>
      </c>
      <c r="H56" s="96" t="s">
        <v>369</v>
      </c>
      <c r="I56" s="96" t="s">
        <v>370</v>
      </c>
      <c r="J56" s="96" t="s">
        <v>376</v>
      </c>
      <c r="K56" s="97"/>
      <c r="L56" s="101"/>
      <c r="M56" s="95" t="s">
        <v>335</v>
      </c>
      <c r="N56" s="96" t="s">
        <v>397</v>
      </c>
      <c r="O56" s="96" t="s">
        <v>387</v>
      </c>
      <c r="P56" s="96" t="s">
        <v>404</v>
      </c>
      <c r="Q56" s="96"/>
      <c r="R56" s="101"/>
      <c r="S56" s="95" t="s">
        <v>335</v>
      </c>
      <c r="T56" s="96" t="s">
        <v>419</v>
      </c>
      <c r="U56" s="96" t="s">
        <v>362</v>
      </c>
      <c r="V56" s="96" t="s">
        <v>365</v>
      </c>
      <c r="W56" s="108"/>
      <c r="X56" s="101"/>
      <c r="Y56" s="81" t="s">
        <v>335</v>
      </c>
      <c r="Z56" s="80"/>
      <c r="AA56" s="80"/>
      <c r="AB56" s="80"/>
      <c r="AC56" s="79"/>
    </row>
    <row r="57" spans="1:29">
      <c r="X57" s="80"/>
    </row>
    <row r="58" spans="1:29" ht="13.15" thickBot="1">
      <c r="X58" s="80"/>
    </row>
    <row r="59" spans="1:29">
      <c r="A59" s="79"/>
      <c r="B59" s="142" t="s">
        <v>577</v>
      </c>
      <c r="C59" s="141"/>
      <c r="D59" s="141"/>
      <c r="E59" s="86"/>
      <c r="F59" s="100"/>
      <c r="G59" s="84"/>
      <c r="H59" s="141" t="s">
        <v>527</v>
      </c>
      <c r="I59" s="141"/>
      <c r="J59" s="141"/>
      <c r="K59" s="86"/>
      <c r="L59" s="100"/>
      <c r="M59" s="84"/>
      <c r="N59" s="141" t="s">
        <v>576</v>
      </c>
      <c r="O59" s="141"/>
      <c r="P59" s="141"/>
      <c r="Q59" s="86"/>
      <c r="R59" s="100"/>
      <c r="S59" s="84"/>
      <c r="T59" s="141" t="s">
        <v>263</v>
      </c>
      <c r="U59" s="141"/>
      <c r="V59" s="141"/>
      <c r="W59" s="86"/>
      <c r="X59" s="104"/>
      <c r="Y59" s="79"/>
      <c r="Z59" s="118"/>
      <c r="AA59" s="118"/>
      <c r="AB59" s="118"/>
    </row>
    <row r="60" spans="1:29">
      <c r="A60" s="79"/>
      <c r="B60" s="111" t="s">
        <v>334</v>
      </c>
      <c r="C60" s="82" t="s">
        <v>267</v>
      </c>
      <c r="D60" s="82" t="s">
        <v>274</v>
      </c>
      <c r="E60" s="82" t="s">
        <v>436</v>
      </c>
      <c r="F60" s="90" t="s">
        <v>437</v>
      </c>
      <c r="G60" s="89"/>
      <c r="H60" s="82" t="s">
        <v>334</v>
      </c>
      <c r="I60" s="82" t="s">
        <v>267</v>
      </c>
      <c r="J60" s="82" t="s">
        <v>274</v>
      </c>
      <c r="K60" s="82" t="s">
        <v>436</v>
      </c>
      <c r="L60" s="90" t="s">
        <v>437</v>
      </c>
      <c r="M60" s="89"/>
      <c r="N60" s="82" t="s">
        <v>334</v>
      </c>
      <c r="O60" s="82" t="s">
        <v>267</v>
      </c>
      <c r="P60" s="82" t="s">
        <v>274</v>
      </c>
      <c r="Q60" s="82" t="s">
        <v>436</v>
      </c>
      <c r="R60" s="90" t="s">
        <v>437</v>
      </c>
      <c r="S60" s="89"/>
      <c r="T60" s="82" t="s">
        <v>334</v>
      </c>
      <c r="U60" s="82" t="s">
        <v>267</v>
      </c>
      <c r="V60" s="82" t="s">
        <v>274</v>
      </c>
      <c r="W60" s="82" t="s">
        <v>436</v>
      </c>
      <c r="X60" s="90" t="s">
        <v>437</v>
      </c>
      <c r="Y60" s="79"/>
      <c r="Z60" s="80"/>
      <c r="AA60" s="80"/>
      <c r="AB60" s="80"/>
      <c r="AC60" s="79"/>
    </row>
    <row r="61" spans="1:29">
      <c r="A61" s="79">
        <v>1</v>
      </c>
      <c r="B61" s="111" t="s">
        <v>367</v>
      </c>
      <c r="C61" s="82" t="s">
        <v>429</v>
      </c>
      <c r="D61" s="82" t="s">
        <v>343</v>
      </c>
      <c r="E61" s="83" t="s">
        <v>367</v>
      </c>
      <c r="F61" s="105"/>
      <c r="G61" s="89">
        <v>1</v>
      </c>
      <c r="H61" s="82" t="s">
        <v>472</v>
      </c>
      <c r="I61" s="82" t="s">
        <v>390</v>
      </c>
      <c r="J61" s="82" t="s">
        <v>389</v>
      </c>
      <c r="K61" s="83" t="s">
        <v>389</v>
      </c>
      <c r="L61" s="90"/>
      <c r="M61" s="89">
        <v>1</v>
      </c>
      <c r="N61" s="82" t="s">
        <v>413</v>
      </c>
      <c r="O61" s="82" t="s">
        <v>358</v>
      </c>
      <c r="P61" s="82" t="s">
        <v>366</v>
      </c>
      <c r="Q61" s="82"/>
      <c r="R61" s="90"/>
      <c r="S61" s="89">
        <v>1</v>
      </c>
      <c r="T61" s="82" t="s">
        <v>511</v>
      </c>
      <c r="U61" s="82" t="s">
        <v>411</v>
      </c>
      <c r="V61" s="82" t="s">
        <v>403</v>
      </c>
      <c r="W61" s="83" t="s">
        <v>403</v>
      </c>
      <c r="X61" s="90"/>
      <c r="Y61" s="79"/>
      <c r="Z61" s="80"/>
      <c r="AA61" s="80"/>
      <c r="AB61" s="80"/>
      <c r="AC61" s="79"/>
    </row>
    <row r="62" spans="1:29">
      <c r="A62" s="79">
        <v>2</v>
      </c>
      <c r="B62" s="111" t="s">
        <v>337</v>
      </c>
      <c r="C62" s="82" t="s">
        <v>424</v>
      </c>
      <c r="D62" s="82" t="s">
        <v>348</v>
      </c>
      <c r="E62" s="83"/>
      <c r="F62" s="105"/>
      <c r="G62" s="89">
        <v>2</v>
      </c>
      <c r="H62" s="82" t="s">
        <v>423</v>
      </c>
      <c r="I62" s="82" t="s">
        <v>443</v>
      </c>
      <c r="J62" s="82" t="s">
        <v>395</v>
      </c>
      <c r="K62" s="83"/>
      <c r="L62" s="90"/>
      <c r="M62" s="89">
        <v>2</v>
      </c>
      <c r="N62" s="82" t="s">
        <v>351</v>
      </c>
      <c r="O62" s="82" t="s">
        <v>373</v>
      </c>
      <c r="P62" s="82" t="s">
        <v>357</v>
      </c>
      <c r="Q62" s="82" t="s">
        <v>351</v>
      </c>
      <c r="R62" s="90"/>
      <c r="S62" s="89">
        <v>2</v>
      </c>
      <c r="T62" s="82" t="s">
        <v>406</v>
      </c>
      <c r="U62" s="82" t="s">
        <v>533</v>
      </c>
      <c r="V62" s="82" t="s">
        <v>395</v>
      </c>
      <c r="W62" s="83"/>
      <c r="X62" s="90"/>
      <c r="Y62" s="79"/>
      <c r="Z62" s="80"/>
      <c r="AA62" s="80"/>
      <c r="AB62" s="80"/>
      <c r="AC62" s="79"/>
    </row>
    <row r="63" spans="1:29">
      <c r="A63" s="79">
        <v>3</v>
      </c>
      <c r="B63" s="111" t="s">
        <v>372</v>
      </c>
      <c r="C63" s="82" t="s">
        <v>375</v>
      </c>
      <c r="D63" s="82" t="s">
        <v>340</v>
      </c>
      <c r="E63" s="83" t="s">
        <v>340</v>
      </c>
      <c r="F63" s="105"/>
      <c r="G63" s="89">
        <v>3</v>
      </c>
      <c r="H63" s="82" t="s">
        <v>380</v>
      </c>
      <c r="I63" s="82" t="s">
        <v>441</v>
      </c>
      <c r="J63" s="82" t="s">
        <v>407</v>
      </c>
      <c r="K63" s="83"/>
      <c r="L63" s="90"/>
      <c r="M63" s="89">
        <v>3</v>
      </c>
      <c r="N63" s="82" t="s">
        <v>435</v>
      </c>
      <c r="O63" s="82" t="s">
        <v>410</v>
      </c>
      <c r="P63" s="82" t="s">
        <v>365</v>
      </c>
      <c r="Q63" s="82" t="s">
        <v>435</v>
      </c>
      <c r="R63" s="90"/>
      <c r="S63" s="89">
        <v>3</v>
      </c>
      <c r="T63" s="82" t="s">
        <v>471</v>
      </c>
      <c r="U63" s="82" t="s">
        <v>356</v>
      </c>
      <c r="V63" s="82" t="s">
        <v>430</v>
      </c>
      <c r="W63" s="83"/>
      <c r="X63" s="90"/>
      <c r="Y63" s="79"/>
      <c r="Z63" s="80"/>
      <c r="AA63" s="80"/>
      <c r="AB63" s="80"/>
      <c r="AC63" s="79"/>
    </row>
    <row r="64" spans="1:29">
      <c r="A64" s="79">
        <v>4</v>
      </c>
      <c r="B64" s="111" t="s">
        <v>368</v>
      </c>
      <c r="C64" s="82" t="s">
        <v>448</v>
      </c>
      <c r="D64" s="82" t="s">
        <v>342</v>
      </c>
      <c r="E64" s="83" t="s">
        <v>368</v>
      </c>
      <c r="F64" s="105"/>
      <c r="G64" s="89">
        <v>4</v>
      </c>
      <c r="H64" s="82" t="s">
        <v>379</v>
      </c>
      <c r="I64" s="82" t="s">
        <v>485</v>
      </c>
      <c r="J64" s="82" t="s">
        <v>503</v>
      </c>
      <c r="K64" s="83"/>
      <c r="L64" s="90"/>
      <c r="M64" s="89">
        <v>4</v>
      </c>
      <c r="N64" s="82" t="s">
        <v>400</v>
      </c>
      <c r="O64" s="82" t="s">
        <v>402</v>
      </c>
      <c r="P64" s="82" t="s">
        <v>415</v>
      </c>
      <c r="Q64" s="82"/>
      <c r="R64" s="90"/>
      <c r="S64" s="89">
        <v>4</v>
      </c>
      <c r="T64" s="82" t="s">
        <v>442</v>
      </c>
      <c r="U64" s="82" t="s">
        <v>575</v>
      </c>
      <c r="V64" s="82" t="s">
        <v>374</v>
      </c>
      <c r="W64" s="83"/>
      <c r="X64" s="90"/>
      <c r="Y64" s="79"/>
      <c r="Z64" s="80"/>
      <c r="AA64" s="80"/>
      <c r="AB64" s="80"/>
      <c r="AC64" s="79"/>
    </row>
    <row r="65" spans="1:29">
      <c r="A65" s="79">
        <v>5</v>
      </c>
      <c r="B65" s="111" t="s">
        <v>339</v>
      </c>
      <c r="C65" s="82" t="s">
        <v>346</v>
      </c>
      <c r="D65" s="82" t="s">
        <v>417</v>
      </c>
      <c r="E65" s="83"/>
      <c r="F65" s="105"/>
      <c r="G65" s="89">
        <v>5</v>
      </c>
      <c r="H65" s="82" t="s">
        <v>378</v>
      </c>
      <c r="I65" s="82" t="s">
        <v>385</v>
      </c>
      <c r="J65" s="82" t="s">
        <v>394</v>
      </c>
      <c r="K65" s="83" t="s">
        <v>385</v>
      </c>
      <c r="L65" s="90"/>
      <c r="M65" s="89">
        <v>5</v>
      </c>
      <c r="N65" s="82" t="s">
        <v>398</v>
      </c>
      <c r="O65" s="82" t="s">
        <v>356</v>
      </c>
      <c r="P65" s="82" t="s">
        <v>403</v>
      </c>
      <c r="Q65" s="82" t="s">
        <v>403</v>
      </c>
      <c r="R65" s="90"/>
      <c r="S65" s="89">
        <v>5</v>
      </c>
      <c r="T65" s="82" t="s">
        <v>532</v>
      </c>
      <c r="U65" s="82" t="s">
        <v>410</v>
      </c>
      <c r="V65" s="82" t="s">
        <v>535</v>
      </c>
      <c r="W65" s="83"/>
      <c r="X65" s="90"/>
      <c r="Y65" s="79"/>
      <c r="Z65" s="80"/>
      <c r="AA65" s="80"/>
      <c r="AB65" s="80"/>
      <c r="AC65" s="79"/>
    </row>
    <row r="66" spans="1:29">
      <c r="A66" s="81" t="s">
        <v>335</v>
      </c>
      <c r="B66" s="111" t="s">
        <v>369</v>
      </c>
      <c r="C66" s="82" t="s">
        <v>428</v>
      </c>
      <c r="D66" s="82" t="s">
        <v>376</v>
      </c>
      <c r="E66" s="83"/>
      <c r="F66" s="107"/>
      <c r="G66" s="91" t="s">
        <v>335</v>
      </c>
      <c r="H66" s="82" t="s">
        <v>411</v>
      </c>
      <c r="I66" s="82" t="s">
        <v>454</v>
      </c>
      <c r="J66" s="82" t="s">
        <v>458</v>
      </c>
      <c r="K66" s="92"/>
      <c r="L66" s="90"/>
      <c r="M66" s="91" t="s">
        <v>335</v>
      </c>
      <c r="N66" s="82" t="s">
        <v>406</v>
      </c>
      <c r="O66" s="82" t="s">
        <v>362</v>
      </c>
      <c r="P66" s="82" t="s">
        <v>422</v>
      </c>
      <c r="Q66" s="82"/>
      <c r="R66" s="90"/>
      <c r="S66" s="91" t="s">
        <v>335</v>
      </c>
      <c r="T66" s="82" t="s">
        <v>537</v>
      </c>
      <c r="U66" s="82" t="s">
        <v>428</v>
      </c>
      <c r="V66" s="82" t="s">
        <v>426</v>
      </c>
      <c r="W66" s="83"/>
      <c r="X66" s="90"/>
      <c r="Y66" s="81"/>
      <c r="Z66" s="80"/>
      <c r="AA66" s="80"/>
      <c r="AB66" s="80"/>
      <c r="AC66" s="79"/>
    </row>
    <row r="67" spans="1:29">
      <c r="B67" s="103"/>
      <c r="C67" s="93"/>
      <c r="D67" s="93"/>
      <c r="E67" s="93"/>
      <c r="F67" s="94"/>
      <c r="G67" s="103"/>
      <c r="H67" s="93"/>
      <c r="I67" s="93"/>
      <c r="J67" s="93"/>
      <c r="K67" s="93"/>
      <c r="L67" s="94"/>
      <c r="M67" s="103"/>
      <c r="N67" s="93"/>
      <c r="O67" s="93"/>
      <c r="P67" s="93"/>
      <c r="Q67" s="93"/>
      <c r="R67" s="94"/>
      <c r="S67" s="103"/>
      <c r="T67" s="93"/>
      <c r="U67" s="93"/>
      <c r="V67" s="93"/>
      <c r="W67" s="93"/>
      <c r="X67" s="90"/>
    </row>
    <row r="68" spans="1:29">
      <c r="B68" s="103"/>
      <c r="C68" s="93"/>
      <c r="D68" s="93"/>
      <c r="E68" s="93"/>
      <c r="F68" s="94"/>
      <c r="G68" s="103"/>
      <c r="H68" s="93"/>
      <c r="I68" s="93"/>
      <c r="J68" s="93"/>
      <c r="K68" s="93"/>
      <c r="L68" s="94"/>
      <c r="M68" s="103"/>
      <c r="N68" s="93"/>
      <c r="O68" s="93"/>
      <c r="P68" s="93"/>
      <c r="Q68" s="93"/>
      <c r="R68" s="94"/>
      <c r="S68" s="103"/>
      <c r="T68" s="93"/>
      <c r="U68" s="93"/>
      <c r="V68" s="93"/>
      <c r="W68" s="93"/>
      <c r="X68" s="90"/>
    </row>
    <row r="69" spans="1:29">
      <c r="A69" s="79"/>
      <c r="B69" s="143" t="s">
        <v>578</v>
      </c>
      <c r="C69" s="140"/>
      <c r="D69" s="140"/>
      <c r="E69" s="83"/>
      <c r="F69" s="105"/>
      <c r="G69" s="89"/>
      <c r="H69" s="140" t="s">
        <v>525</v>
      </c>
      <c r="I69" s="140"/>
      <c r="J69" s="140"/>
      <c r="K69" s="83"/>
      <c r="L69" s="105"/>
      <c r="M69" s="89"/>
      <c r="N69" s="140" t="s">
        <v>526</v>
      </c>
      <c r="O69" s="140"/>
      <c r="P69" s="140"/>
      <c r="Q69" s="83"/>
      <c r="R69" s="105"/>
      <c r="S69" s="89"/>
      <c r="T69" s="140" t="s">
        <v>579</v>
      </c>
      <c r="U69" s="140"/>
      <c r="V69" s="140"/>
      <c r="W69" s="83"/>
      <c r="X69" s="90"/>
      <c r="Y69" s="79"/>
      <c r="Z69" s="118"/>
      <c r="AA69" s="118"/>
      <c r="AB69" s="118"/>
    </row>
    <row r="70" spans="1:29">
      <c r="A70" s="79"/>
      <c r="B70" s="111" t="s">
        <v>334</v>
      </c>
      <c r="C70" s="82" t="s">
        <v>267</v>
      </c>
      <c r="D70" s="82" t="s">
        <v>274</v>
      </c>
      <c r="E70" s="82" t="s">
        <v>436</v>
      </c>
      <c r="F70" s="90" t="s">
        <v>437</v>
      </c>
      <c r="G70" s="89"/>
      <c r="H70" s="82" t="s">
        <v>334</v>
      </c>
      <c r="I70" s="82" t="s">
        <v>267</v>
      </c>
      <c r="J70" s="82" t="s">
        <v>274</v>
      </c>
      <c r="K70" s="82" t="s">
        <v>436</v>
      </c>
      <c r="L70" s="90" t="s">
        <v>437</v>
      </c>
      <c r="M70" s="89"/>
      <c r="N70" s="82" t="s">
        <v>334</v>
      </c>
      <c r="O70" s="82" t="s">
        <v>267</v>
      </c>
      <c r="P70" s="82" t="s">
        <v>274</v>
      </c>
      <c r="Q70" s="82" t="s">
        <v>436</v>
      </c>
      <c r="R70" s="90" t="s">
        <v>437</v>
      </c>
      <c r="S70" s="89"/>
      <c r="T70" s="82" t="s">
        <v>334</v>
      </c>
      <c r="U70" s="82" t="s">
        <v>267</v>
      </c>
      <c r="V70" s="82" t="s">
        <v>274</v>
      </c>
      <c r="W70" s="82" t="s">
        <v>436</v>
      </c>
      <c r="X70" s="90" t="s">
        <v>437</v>
      </c>
      <c r="Y70" s="79"/>
      <c r="Z70" s="80"/>
      <c r="AA70" s="80"/>
      <c r="AB70" s="80"/>
      <c r="AC70" s="79"/>
    </row>
    <row r="71" spans="1:29">
      <c r="A71" s="79">
        <v>1</v>
      </c>
      <c r="B71" s="111" t="s">
        <v>367</v>
      </c>
      <c r="C71" s="82" t="s">
        <v>429</v>
      </c>
      <c r="D71" s="82" t="s">
        <v>349</v>
      </c>
      <c r="E71" s="83" t="s">
        <v>367</v>
      </c>
      <c r="F71" s="105"/>
      <c r="G71" s="89">
        <v>1</v>
      </c>
      <c r="H71" s="82" t="s">
        <v>380</v>
      </c>
      <c r="I71" s="82" t="s">
        <v>382</v>
      </c>
      <c r="J71" s="82" t="s">
        <v>383</v>
      </c>
      <c r="K71" s="83"/>
      <c r="L71" s="90"/>
      <c r="M71" s="89">
        <v>1</v>
      </c>
      <c r="N71" s="82" t="s">
        <v>399</v>
      </c>
      <c r="O71" s="82" t="s">
        <v>410</v>
      </c>
      <c r="P71" s="82" t="s">
        <v>404</v>
      </c>
      <c r="Q71" s="82" t="s">
        <v>404</v>
      </c>
      <c r="R71" s="90"/>
      <c r="S71" s="89">
        <v>1</v>
      </c>
      <c r="T71" s="82" t="s">
        <v>427</v>
      </c>
      <c r="U71" s="82" t="s">
        <v>572</v>
      </c>
      <c r="V71" s="82" t="s">
        <v>388</v>
      </c>
      <c r="W71" s="83"/>
      <c r="X71" s="90"/>
      <c r="Y71" s="79"/>
      <c r="Z71" s="80"/>
      <c r="AA71" s="80"/>
      <c r="AB71" s="80"/>
      <c r="AC71" s="79"/>
    </row>
    <row r="72" spans="1:29">
      <c r="A72" s="79">
        <v>2</v>
      </c>
      <c r="B72" s="111" t="s">
        <v>340</v>
      </c>
      <c r="C72" s="82" t="s">
        <v>390</v>
      </c>
      <c r="D72" s="82" t="s">
        <v>342</v>
      </c>
      <c r="E72" s="83" t="s">
        <v>340</v>
      </c>
      <c r="F72" s="105"/>
      <c r="G72" s="89">
        <v>2</v>
      </c>
      <c r="H72" s="82" t="s">
        <v>381</v>
      </c>
      <c r="I72" s="82" t="s">
        <v>446</v>
      </c>
      <c r="J72" s="82" t="s">
        <v>389</v>
      </c>
      <c r="K72" s="83" t="s">
        <v>389</v>
      </c>
      <c r="L72" s="90"/>
      <c r="M72" s="89">
        <v>2</v>
      </c>
      <c r="N72" s="82" t="s">
        <v>400</v>
      </c>
      <c r="O72" s="82" t="s">
        <v>414</v>
      </c>
      <c r="P72" s="82" t="s">
        <v>415</v>
      </c>
      <c r="Q72" s="82"/>
      <c r="R72" s="90"/>
      <c r="S72" s="89">
        <v>2</v>
      </c>
      <c r="T72" s="82" t="s">
        <v>407</v>
      </c>
      <c r="U72" s="82" t="s">
        <v>583</v>
      </c>
      <c r="V72" s="82" t="s">
        <v>349</v>
      </c>
      <c r="W72" s="83"/>
      <c r="X72" s="90"/>
      <c r="Y72" s="79"/>
      <c r="Z72" s="80"/>
      <c r="AA72" s="80"/>
      <c r="AB72" s="80"/>
      <c r="AC72" s="79"/>
    </row>
    <row r="73" spans="1:29">
      <c r="A73" s="79">
        <v>3</v>
      </c>
      <c r="B73" s="111" t="s">
        <v>339</v>
      </c>
      <c r="C73" s="82" t="s">
        <v>448</v>
      </c>
      <c r="D73" s="82" t="s">
        <v>394</v>
      </c>
      <c r="E73" s="83"/>
      <c r="F73" s="105"/>
      <c r="G73" s="89">
        <v>3</v>
      </c>
      <c r="H73" s="82" t="s">
        <v>423</v>
      </c>
      <c r="I73" s="82" t="s">
        <v>441</v>
      </c>
      <c r="J73" s="82" t="s">
        <v>407</v>
      </c>
      <c r="K73" s="83"/>
      <c r="L73" s="90"/>
      <c r="M73" s="89">
        <v>3</v>
      </c>
      <c r="N73" s="82" t="s">
        <v>351</v>
      </c>
      <c r="O73" s="82" t="s">
        <v>358</v>
      </c>
      <c r="P73" s="82" t="s">
        <v>416</v>
      </c>
      <c r="Q73" s="82" t="s">
        <v>351</v>
      </c>
      <c r="R73" s="90"/>
      <c r="S73" s="89">
        <v>3</v>
      </c>
      <c r="T73" s="82" t="s">
        <v>420</v>
      </c>
      <c r="U73" s="82" t="s">
        <v>530</v>
      </c>
      <c r="V73" s="82" t="s">
        <v>503</v>
      </c>
      <c r="W73" s="83"/>
      <c r="X73" s="90"/>
      <c r="Y73" s="79"/>
      <c r="Z73" s="80"/>
      <c r="AA73" s="80"/>
      <c r="AB73" s="80"/>
      <c r="AC73" s="79"/>
    </row>
    <row r="74" spans="1:29">
      <c r="A74" s="79">
        <v>4</v>
      </c>
      <c r="B74" s="111" t="s">
        <v>353</v>
      </c>
      <c r="C74" s="82" t="s">
        <v>346</v>
      </c>
      <c r="D74" s="82" t="s">
        <v>348</v>
      </c>
      <c r="E74" s="83"/>
      <c r="F74" s="105"/>
      <c r="G74" s="89">
        <v>4</v>
      </c>
      <c r="H74" s="82" t="s">
        <v>427</v>
      </c>
      <c r="I74" s="82" t="s">
        <v>384</v>
      </c>
      <c r="J74" s="82" t="s">
        <v>417</v>
      </c>
      <c r="K74" s="83"/>
      <c r="L74" s="90" t="s">
        <v>445</v>
      </c>
      <c r="M74" s="89">
        <v>4</v>
      </c>
      <c r="N74" s="82" t="s">
        <v>409</v>
      </c>
      <c r="O74" s="82" t="s">
        <v>362</v>
      </c>
      <c r="P74" s="82" t="s">
        <v>365</v>
      </c>
      <c r="Q74" s="82" t="s">
        <v>494</v>
      </c>
      <c r="R74" s="90"/>
      <c r="S74" s="89">
        <v>4</v>
      </c>
      <c r="T74" s="82" t="s">
        <v>457</v>
      </c>
      <c r="U74" s="82" t="s">
        <v>448</v>
      </c>
      <c r="V74" s="82" t="s">
        <v>476</v>
      </c>
      <c r="W74" s="83"/>
      <c r="X74" s="90"/>
      <c r="Y74" s="79"/>
      <c r="Z74" s="80"/>
      <c r="AA74" s="80"/>
      <c r="AB74" s="80"/>
      <c r="AC74" s="79"/>
    </row>
    <row r="75" spans="1:29">
      <c r="A75" s="79">
        <v>5</v>
      </c>
      <c r="B75" s="111" t="s">
        <v>337</v>
      </c>
      <c r="C75" s="82" t="s">
        <v>454</v>
      </c>
      <c r="D75" s="82" t="s">
        <v>458</v>
      </c>
      <c r="E75" s="83"/>
      <c r="F75" s="105"/>
      <c r="G75" s="89">
        <v>5</v>
      </c>
      <c r="H75" s="82" t="s">
        <v>379</v>
      </c>
      <c r="I75" s="82" t="s">
        <v>385</v>
      </c>
      <c r="J75" s="82" t="s">
        <v>422</v>
      </c>
      <c r="K75" s="83" t="s">
        <v>385</v>
      </c>
      <c r="L75" s="90"/>
      <c r="M75" s="89">
        <v>5</v>
      </c>
      <c r="N75" s="82" t="s">
        <v>406</v>
      </c>
      <c r="O75" s="82" t="s">
        <v>359</v>
      </c>
      <c r="P75" s="82" t="s">
        <v>503</v>
      </c>
      <c r="Q75" s="82"/>
      <c r="R75" s="90"/>
      <c r="S75" s="89">
        <v>5</v>
      </c>
      <c r="T75" s="82" t="s">
        <v>528</v>
      </c>
      <c r="U75" s="82" t="s">
        <v>454</v>
      </c>
      <c r="V75" s="82" t="s">
        <v>520</v>
      </c>
      <c r="W75" s="83"/>
      <c r="X75" s="90"/>
      <c r="Y75" s="79"/>
      <c r="Z75" s="80"/>
      <c r="AA75" s="80"/>
      <c r="AB75" s="80"/>
      <c r="AC75" s="79"/>
    </row>
    <row r="76" spans="1:29" ht="13.15" thickBot="1">
      <c r="A76" s="81" t="s">
        <v>335</v>
      </c>
      <c r="B76" s="112" t="s">
        <v>368</v>
      </c>
      <c r="C76" s="96" t="s">
        <v>443</v>
      </c>
      <c r="D76" s="96" t="s">
        <v>343</v>
      </c>
      <c r="E76" s="108"/>
      <c r="F76" s="109"/>
      <c r="G76" s="95" t="s">
        <v>335</v>
      </c>
      <c r="H76" s="96" t="s">
        <v>387</v>
      </c>
      <c r="I76" s="96" t="s">
        <v>370</v>
      </c>
      <c r="J76" s="96" t="s">
        <v>376</v>
      </c>
      <c r="K76" s="97"/>
      <c r="L76" s="101"/>
      <c r="M76" s="95" t="s">
        <v>335</v>
      </c>
      <c r="N76" s="96" t="s">
        <v>398</v>
      </c>
      <c r="O76" s="96" t="s">
        <v>373</v>
      </c>
      <c r="P76" s="96" t="s">
        <v>357</v>
      </c>
      <c r="Q76" s="96"/>
      <c r="R76" s="101"/>
      <c r="S76" s="95" t="s">
        <v>335</v>
      </c>
      <c r="T76" s="96" t="s">
        <v>584</v>
      </c>
      <c r="U76" s="96" t="s">
        <v>561</v>
      </c>
      <c r="V76" s="96" t="s">
        <v>374</v>
      </c>
      <c r="W76" s="108"/>
      <c r="X76" s="101"/>
      <c r="Y76" s="81"/>
      <c r="Z76" s="80"/>
      <c r="AA76" s="80"/>
      <c r="AB76" s="80"/>
      <c r="AC76" s="79"/>
    </row>
    <row r="78" spans="1:29" ht="13.15" thickBot="1"/>
    <row r="79" spans="1:29">
      <c r="S79" s="84"/>
      <c r="T79" s="141" t="s">
        <v>292</v>
      </c>
      <c r="U79" s="141"/>
      <c r="V79" s="141"/>
      <c r="W79" s="86"/>
      <c r="X79" s="104"/>
    </row>
    <row r="80" spans="1:29">
      <c r="J80" s="49" t="s">
        <v>374</v>
      </c>
      <c r="S80" s="89"/>
      <c r="T80" s="82" t="s">
        <v>334</v>
      </c>
      <c r="U80" s="82" t="s">
        <v>267</v>
      </c>
      <c r="V80" s="82" t="s">
        <v>274</v>
      </c>
      <c r="W80" s="82" t="s">
        <v>436</v>
      </c>
      <c r="X80" s="90" t="s">
        <v>437</v>
      </c>
    </row>
    <row r="81" spans="19:24">
      <c r="S81" s="89">
        <v>1</v>
      </c>
      <c r="T81" s="82"/>
      <c r="U81" s="82" t="s">
        <v>411</v>
      </c>
      <c r="V81" s="82"/>
      <c r="W81" s="83"/>
      <c r="X81" s="90"/>
    </row>
    <row r="82" spans="19:24">
      <c r="S82" s="89">
        <v>2</v>
      </c>
      <c r="T82" s="82" t="s">
        <v>353</v>
      </c>
      <c r="U82" s="82" t="s">
        <v>454</v>
      </c>
      <c r="V82" s="82"/>
      <c r="W82" s="83"/>
      <c r="X82" s="90"/>
    </row>
    <row r="83" spans="19:24">
      <c r="S83" s="89">
        <v>3</v>
      </c>
      <c r="T83" s="82"/>
      <c r="U83" s="82" t="s">
        <v>443</v>
      </c>
      <c r="V83" s="82"/>
      <c r="W83" s="83"/>
      <c r="X83" s="90"/>
    </row>
    <row r="84" spans="19:24">
      <c r="S84" s="89">
        <v>4</v>
      </c>
      <c r="T84" s="82" t="s">
        <v>394</v>
      </c>
      <c r="U84" s="82" t="s">
        <v>373</v>
      </c>
      <c r="V84" s="82"/>
      <c r="W84" s="83"/>
      <c r="X84" s="90"/>
    </row>
    <row r="85" spans="19:24">
      <c r="S85" s="89">
        <v>5</v>
      </c>
      <c r="T85" s="82"/>
      <c r="U85" s="82" t="s">
        <v>533</v>
      </c>
      <c r="V85" s="82" t="s">
        <v>476</v>
      </c>
      <c r="W85" s="83"/>
      <c r="X85" s="90"/>
    </row>
    <row r="86" spans="19:24">
      <c r="S86" s="91" t="s">
        <v>335</v>
      </c>
      <c r="T86" s="82" t="s">
        <v>528</v>
      </c>
      <c r="U86" s="82" t="s">
        <v>362</v>
      </c>
      <c r="V86" s="82" t="s">
        <v>422</v>
      </c>
      <c r="W86" s="83"/>
      <c r="X86" s="90"/>
    </row>
    <row r="87" spans="19:24">
      <c r="S87" s="103"/>
      <c r="T87" s="93"/>
      <c r="U87" s="93"/>
      <c r="V87" s="93"/>
      <c r="W87" s="93"/>
      <c r="X87" s="90"/>
    </row>
    <row r="88" spans="19:24">
      <c r="S88" s="103"/>
      <c r="T88" s="93"/>
      <c r="U88" s="93"/>
      <c r="V88" s="93"/>
      <c r="W88" s="93"/>
      <c r="X88" s="90"/>
    </row>
    <row r="89" spans="19:24">
      <c r="S89" s="89"/>
      <c r="T89" s="140" t="s">
        <v>306</v>
      </c>
      <c r="U89" s="140"/>
      <c r="V89" s="140"/>
      <c r="W89" s="83"/>
      <c r="X89" s="90"/>
    </row>
    <row r="90" spans="19:24">
      <c r="S90" s="89"/>
      <c r="T90" s="82" t="s">
        <v>334</v>
      </c>
      <c r="U90" s="82" t="s">
        <v>267</v>
      </c>
      <c r="V90" s="82" t="s">
        <v>274</v>
      </c>
      <c r="W90" s="82" t="s">
        <v>436</v>
      </c>
      <c r="X90" s="90" t="s">
        <v>437</v>
      </c>
    </row>
    <row r="91" spans="19:24">
      <c r="S91" s="89">
        <v>1</v>
      </c>
      <c r="T91" s="82" t="s">
        <v>400</v>
      </c>
      <c r="U91" s="82" t="s">
        <v>485</v>
      </c>
      <c r="V91" s="82"/>
      <c r="W91" s="83"/>
      <c r="X91" s="90"/>
    </row>
    <row r="92" spans="19:24">
      <c r="S92" s="89">
        <v>2</v>
      </c>
      <c r="T92" s="82" t="s">
        <v>406</v>
      </c>
      <c r="U92" s="82" t="s">
        <v>519</v>
      </c>
      <c r="V92" s="82"/>
      <c r="W92" s="83"/>
      <c r="X92" s="90"/>
    </row>
    <row r="93" spans="19:24">
      <c r="S93" s="89">
        <v>3</v>
      </c>
      <c r="T93" s="82" t="s">
        <v>353</v>
      </c>
      <c r="U93" s="82" t="s">
        <v>529</v>
      </c>
      <c r="V93" s="82"/>
      <c r="W93" s="83"/>
      <c r="X93" s="90"/>
    </row>
    <row r="94" spans="19:24">
      <c r="S94" s="89">
        <v>4</v>
      </c>
      <c r="T94" s="82" t="s">
        <v>407</v>
      </c>
      <c r="U94" s="82" t="s">
        <v>530</v>
      </c>
      <c r="V94" s="82" t="s">
        <v>520</v>
      </c>
      <c r="W94" s="83"/>
      <c r="X94" s="90"/>
    </row>
    <row r="95" spans="19:24">
      <c r="S95" s="89">
        <v>5</v>
      </c>
      <c r="T95" s="82" t="s">
        <v>534</v>
      </c>
      <c r="U95" s="82" t="s">
        <v>392</v>
      </c>
      <c r="V95" s="82" t="s">
        <v>531</v>
      </c>
      <c r="W95" s="83"/>
      <c r="X95" s="90"/>
    </row>
    <row r="96" spans="19:24" ht="13.15" thickBot="1">
      <c r="S96" s="95" t="s">
        <v>335</v>
      </c>
      <c r="T96" s="96" t="s">
        <v>360</v>
      </c>
      <c r="U96" s="96" t="s">
        <v>375</v>
      </c>
      <c r="V96" s="96" t="s">
        <v>511</v>
      </c>
      <c r="W96" s="108"/>
      <c r="X96" s="101"/>
    </row>
  </sheetData>
  <mergeCells count="46">
    <mergeCell ref="T79:V79"/>
    <mergeCell ref="T89:V89"/>
    <mergeCell ref="B69:D69"/>
    <mergeCell ref="H69:J69"/>
    <mergeCell ref="N69:P69"/>
    <mergeCell ref="T69:V69"/>
    <mergeCell ref="Z69:AB69"/>
    <mergeCell ref="AF3:AH3"/>
    <mergeCell ref="B49:D49"/>
    <mergeCell ref="H49:J49"/>
    <mergeCell ref="N49:P49"/>
    <mergeCell ref="T49:V49"/>
    <mergeCell ref="Z49:AB49"/>
    <mergeCell ref="J38:L38"/>
    <mergeCell ref="B39:D39"/>
    <mergeCell ref="H39:J39"/>
    <mergeCell ref="N39:P39"/>
    <mergeCell ref="T39:V39"/>
    <mergeCell ref="Z39:AB39"/>
    <mergeCell ref="B20:D20"/>
    <mergeCell ref="H20:J20"/>
    <mergeCell ref="N20:P20"/>
    <mergeCell ref="Z59:AB59"/>
    <mergeCell ref="Z20:AB20"/>
    <mergeCell ref="B29:D29"/>
    <mergeCell ref="H29:J29"/>
    <mergeCell ref="N29:P29"/>
    <mergeCell ref="Z29:AB29"/>
    <mergeCell ref="T29:V29"/>
    <mergeCell ref="T20:V20"/>
    <mergeCell ref="B59:D59"/>
    <mergeCell ref="H59:J59"/>
    <mergeCell ref="N59:P59"/>
    <mergeCell ref="T59:V59"/>
    <mergeCell ref="Z3:AB3"/>
    <mergeCell ref="B11:D11"/>
    <mergeCell ref="B19:D19"/>
    <mergeCell ref="B3:D3"/>
    <mergeCell ref="H3:J3"/>
    <mergeCell ref="N3:P3"/>
    <mergeCell ref="T3:V3"/>
    <mergeCell ref="B12:D12"/>
    <mergeCell ref="H12:J12"/>
    <mergeCell ref="N12:P12"/>
    <mergeCell ref="T12:V12"/>
    <mergeCell ref="Z12:AB12"/>
  </mergeCells>
  <phoneticPr fontId="9"/>
  <pageMargins left="0.7" right="0.7" top="0.75" bottom="0.75" header="0.3" footer="0.3"/>
  <pageSetup paperSize="8" scale="6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1ED6-CE3B-44A1-9BB0-326B6EB85E91}">
  <dimension ref="A1"/>
  <sheetViews>
    <sheetView workbookViewId="0">
      <selection activeCell="A6" sqref="A6"/>
    </sheetView>
  </sheetViews>
  <sheetFormatPr defaultRowHeight="12.75"/>
  <sheetData/>
  <phoneticPr fontId="9"/>
  <pageMargins left="0.7" right="0.7" top="0.75" bottom="0.75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C4CA-02A4-489B-9D08-367D2F7FB753}">
  <dimension ref="A1:AE60"/>
  <sheetViews>
    <sheetView view="pageBreakPreview" topLeftCell="G1" zoomScale="60" zoomScaleNormal="84" workbookViewId="0">
      <selection activeCell="M28" sqref="M28"/>
    </sheetView>
  </sheetViews>
  <sheetFormatPr defaultRowHeight="12.75"/>
  <cols>
    <col min="1" max="1" width="4.6640625" bestFit="1" customWidth="1"/>
    <col min="7" max="7" width="4.6640625" bestFit="1" customWidth="1"/>
    <col min="13" max="13" width="4.6640625" bestFit="1" customWidth="1"/>
    <col min="19" max="19" width="4.6640625" bestFit="1" customWidth="1"/>
  </cols>
  <sheetData>
    <row r="1" spans="1:31">
      <c r="A1" s="144" t="s">
        <v>574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</row>
    <row r="2" spans="1:3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</row>
    <row r="3" spans="1:31">
      <c r="A3" s="79"/>
      <c r="B3" s="118" t="s">
        <v>564</v>
      </c>
      <c r="C3" s="118"/>
      <c r="D3" s="118"/>
      <c r="E3" s="80"/>
      <c r="F3" s="79"/>
      <c r="G3" s="79"/>
      <c r="H3" s="118" t="s">
        <v>564</v>
      </c>
      <c r="I3" s="118"/>
      <c r="J3" s="118"/>
      <c r="K3" s="80"/>
      <c r="L3" s="79"/>
      <c r="M3" s="79"/>
      <c r="N3" s="118" t="s">
        <v>564</v>
      </c>
      <c r="O3" s="118"/>
      <c r="P3" s="118"/>
      <c r="Q3" s="80"/>
      <c r="R3" s="79"/>
      <c r="S3" s="79"/>
      <c r="T3" s="118" t="s">
        <v>573</v>
      </c>
      <c r="U3" s="118"/>
      <c r="V3" s="118"/>
      <c r="W3" s="79"/>
      <c r="Y3" s="79"/>
      <c r="Z3" s="118" t="s">
        <v>586</v>
      </c>
      <c r="AA3" s="118"/>
      <c r="AB3" s="118"/>
      <c r="AC3" s="79"/>
    </row>
    <row r="4" spans="1:31">
      <c r="A4" s="79"/>
      <c r="B4" s="80" t="s">
        <v>334</v>
      </c>
      <c r="C4" s="80" t="s">
        <v>267</v>
      </c>
      <c r="D4" s="80" t="s">
        <v>274</v>
      </c>
      <c r="E4" s="79" t="s">
        <v>436</v>
      </c>
      <c r="F4" s="79" t="s">
        <v>437</v>
      </c>
      <c r="G4" s="79"/>
      <c r="H4" s="80" t="s">
        <v>334</v>
      </c>
      <c r="I4" s="80" t="s">
        <v>267</v>
      </c>
      <c r="J4" s="80" t="s">
        <v>274</v>
      </c>
      <c r="K4" s="79" t="s">
        <v>436</v>
      </c>
      <c r="L4" s="79" t="s">
        <v>437</v>
      </c>
      <c r="M4" s="79"/>
      <c r="N4" s="80" t="s">
        <v>334</v>
      </c>
      <c r="O4" s="80" t="s">
        <v>267</v>
      </c>
      <c r="P4" s="80" t="s">
        <v>274</v>
      </c>
      <c r="Q4" s="79" t="s">
        <v>436</v>
      </c>
      <c r="R4" s="79" t="s">
        <v>437</v>
      </c>
      <c r="S4" s="79"/>
      <c r="T4" s="80" t="s">
        <v>334</v>
      </c>
      <c r="U4" s="80" t="s">
        <v>267</v>
      </c>
      <c r="V4" s="80" t="s">
        <v>274</v>
      </c>
      <c r="W4" s="79" t="s">
        <v>436</v>
      </c>
      <c r="X4" s="79" t="s">
        <v>437</v>
      </c>
      <c r="Y4" s="79"/>
      <c r="Z4" s="80" t="s">
        <v>334</v>
      </c>
      <c r="AA4" s="80" t="s">
        <v>267</v>
      </c>
      <c r="AB4" s="80" t="s">
        <v>274</v>
      </c>
      <c r="AC4" s="79" t="s">
        <v>436</v>
      </c>
      <c r="AD4" s="79" t="s">
        <v>437</v>
      </c>
      <c r="AE4" s="79"/>
    </row>
    <row r="5" spans="1:31">
      <c r="A5" s="79">
        <v>1</v>
      </c>
      <c r="B5" s="80" t="s">
        <v>339</v>
      </c>
      <c r="C5" s="80" t="s">
        <v>390</v>
      </c>
      <c r="D5" s="80" t="s">
        <v>417</v>
      </c>
      <c r="E5" s="80" t="s">
        <v>417</v>
      </c>
      <c r="F5" s="79"/>
      <c r="G5" s="79">
        <v>1</v>
      </c>
      <c r="H5" s="80" t="s">
        <v>367</v>
      </c>
      <c r="I5" s="80" t="s">
        <v>331</v>
      </c>
      <c r="J5" s="80" t="s">
        <v>342</v>
      </c>
      <c r="K5" s="80" t="s">
        <v>367</v>
      </c>
      <c r="L5" s="79" t="s">
        <v>520</v>
      </c>
      <c r="M5" s="79">
        <v>1</v>
      </c>
      <c r="N5" s="80" t="s">
        <v>377</v>
      </c>
      <c r="O5" s="80" t="s">
        <v>411</v>
      </c>
      <c r="P5" s="80" t="s">
        <v>416</v>
      </c>
      <c r="Q5" s="80"/>
      <c r="R5" s="79"/>
      <c r="S5" s="79">
        <v>1</v>
      </c>
      <c r="T5" s="80" t="s">
        <v>442</v>
      </c>
      <c r="U5" s="80" t="s">
        <v>533</v>
      </c>
      <c r="V5" s="80" t="s">
        <v>365</v>
      </c>
      <c r="W5" s="79"/>
      <c r="X5" s="79"/>
      <c r="Y5" s="79">
        <v>1</v>
      </c>
      <c r="Z5" s="80" t="s">
        <v>378</v>
      </c>
      <c r="AA5" s="80" t="s">
        <v>356</v>
      </c>
      <c r="AB5" s="80" t="s">
        <v>365</v>
      </c>
      <c r="AC5" s="79"/>
      <c r="AD5" s="79"/>
      <c r="AE5" s="79"/>
    </row>
    <row r="6" spans="1:31">
      <c r="A6" s="79">
        <v>2</v>
      </c>
      <c r="B6" s="80" t="s">
        <v>569</v>
      </c>
      <c r="C6" s="80" t="s">
        <v>269</v>
      </c>
      <c r="D6" s="80" t="s">
        <v>343</v>
      </c>
      <c r="E6" s="80"/>
      <c r="F6" s="79"/>
      <c r="G6" s="79">
        <v>2</v>
      </c>
      <c r="H6" s="80" t="s">
        <v>419</v>
      </c>
      <c r="I6" s="80" t="s">
        <v>402</v>
      </c>
      <c r="J6" s="80" t="s">
        <v>444</v>
      </c>
      <c r="K6" s="80"/>
      <c r="L6" s="79"/>
      <c r="M6" s="79">
        <v>2</v>
      </c>
      <c r="N6" s="80" t="s">
        <v>406</v>
      </c>
      <c r="O6" s="80" t="s">
        <v>384</v>
      </c>
      <c r="P6" s="80" t="s">
        <v>407</v>
      </c>
      <c r="Q6" s="80"/>
      <c r="R6" s="79"/>
      <c r="S6" s="79">
        <v>2</v>
      </c>
      <c r="T6" s="80" t="s">
        <v>351</v>
      </c>
      <c r="U6" s="80" t="s">
        <v>443</v>
      </c>
      <c r="V6" s="80" t="s">
        <v>383</v>
      </c>
      <c r="W6" s="79" t="s">
        <v>351</v>
      </c>
      <c r="Y6" s="79">
        <v>2</v>
      </c>
      <c r="Z6" s="80" t="s">
        <v>413</v>
      </c>
      <c r="AA6" s="80" t="s">
        <v>443</v>
      </c>
      <c r="AB6" s="80" t="s">
        <v>405</v>
      </c>
      <c r="AC6" s="79"/>
    </row>
    <row r="7" spans="1:31">
      <c r="A7" s="79">
        <v>3</v>
      </c>
      <c r="B7" s="80" t="s">
        <v>372</v>
      </c>
      <c r="C7" s="80" t="s">
        <v>375</v>
      </c>
      <c r="D7" s="80" t="s">
        <v>348</v>
      </c>
      <c r="E7" s="80"/>
      <c r="F7" s="79"/>
      <c r="G7" s="79">
        <v>3</v>
      </c>
      <c r="H7" s="80" t="s">
        <v>336</v>
      </c>
      <c r="I7" s="80" t="s">
        <v>414</v>
      </c>
      <c r="J7" s="80" t="s">
        <v>363</v>
      </c>
      <c r="K7" s="80" t="s">
        <v>363</v>
      </c>
      <c r="L7" s="79"/>
      <c r="M7" s="79">
        <v>3</v>
      </c>
      <c r="N7" s="80" t="s">
        <v>379</v>
      </c>
      <c r="O7" s="80" t="s">
        <v>485</v>
      </c>
      <c r="P7" s="80" t="s">
        <v>430</v>
      </c>
      <c r="Q7" s="80"/>
      <c r="R7" s="79"/>
      <c r="S7" s="79">
        <v>3</v>
      </c>
      <c r="T7" s="80" t="s">
        <v>420</v>
      </c>
      <c r="U7" s="80" t="s">
        <v>261</v>
      </c>
      <c r="V7" s="80" t="s">
        <v>395</v>
      </c>
      <c r="W7" s="79"/>
      <c r="Y7" s="79">
        <v>3</v>
      </c>
      <c r="Z7" s="80" t="s">
        <v>353</v>
      </c>
      <c r="AA7" s="80" t="s">
        <v>261</v>
      </c>
      <c r="AB7" s="80" t="s">
        <v>270</v>
      </c>
      <c r="AC7" s="79"/>
    </row>
    <row r="8" spans="1:31">
      <c r="A8" s="79">
        <v>4</v>
      </c>
      <c r="B8" s="80" t="s">
        <v>368</v>
      </c>
      <c r="C8" s="80" t="s">
        <v>346</v>
      </c>
      <c r="D8" s="80" t="s">
        <v>394</v>
      </c>
      <c r="E8" s="80" t="s">
        <v>368</v>
      </c>
      <c r="F8" s="79"/>
      <c r="G8" s="79">
        <v>4</v>
      </c>
      <c r="H8" s="80" t="s">
        <v>590</v>
      </c>
      <c r="I8" s="80" t="s">
        <v>373</v>
      </c>
      <c r="J8" s="80" t="s">
        <v>415</v>
      </c>
      <c r="K8" s="80"/>
      <c r="L8" s="79" t="s">
        <v>374</v>
      </c>
      <c r="M8" s="79">
        <v>4</v>
      </c>
      <c r="N8" s="80" t="s">
        <v>380</v>
      </c>
      <c r="O8" s="80" t="s">
        <v>385</v>
      </c>
      <c r="P8" s="80" t="s">
        <v>583</v>
      </c>
      <c r="Q8" s="80" t="s">
        <v>385</v>
      </c>
      <c r="R8" s="79"/>
      <c r="S8" s="79">
        <v>4</v>
      </c>
      <c r="T8" s="80" t="s">
        <v>399</v>
      </c>
      <c r="U8" s="80" t="s">
        <v>410</v>
      </c>
      <c r="V8" s="80" t="s">
        <v>404</v>
      </c>
      <c r="W8" s="79" t="s">
        <v>404</v>
      </c>
      <c r="Y8" s="79">
        <v>4</v>
      </c>
      <c r="Z8" s="80" t="s">
        <v>406</v>
      </c>
      <c r="AA8" s="80" t="s">
        <v>412</v>
      </c>
      <c r="AB8" s="80" t="s">
        <v>404</v>
      </c>
      <c r="AC8" s="79" t="s">
        <v>404</v>
      </c>
    </row>
    <row r="9" spans="1:31">
      <c r="A9" s="79">
        <v>5</v>
      </c>
      <c r="B9" s="80" t="s">
        <v>340</v>
      </c>
      <c r="C9" s="80" t="s">
        <v>412</v>
      </c>
      <c r="D9" s="80" t="s">
        <v>458</v>
      </c>
      <c r="E9" s="80" t="s">
        <v>340</v>
      </c>
      <c r="F9" s="79"/>
      <c r="G9" s="79">
        <v>5</v>
      </c>
      <c r="H9" s="80" t="s">
        <v>413</v>
      </c>
      <c r="I9" s="80" t="s">
        <v>443</v>
      </c>
      <c r="J9" s="80" t="s">
        <v>422</v>
      </c>
      <c r="K9" s="80"/>
      <c r="L9" s="79"/>
      <c r="M9" s="79">
        <v>5</v>
      </c>
      <c r="N9" s="80" t="s">
        <v>427</v>
      </c>
      <c r="O9" s="80" t="s">
        <v>441</v>
      </c>
      <c r="P9" s="80" t="s">
        <v>389</v>
      </c>
      <c r="Q9" s="80" t="s">
        <v>389</v>
      </c>
      <c r="R9" s="79" t="s">
        <v>445</v>
      </c>
      <c r="S9" s="79">
        <v>5</v>
      </c>
      <c r="T9" s="80" t="s">
        <v>353</v>
      </c>
      <c r="U9" s="80" t="s">
        <v>356</v>
      </c>
      <c r="V9" s="80" t="s">
        <v>405</v>
      </c>
      <c r="W9" s="79"/>
      <c r="Y9" s="79">
        <v>5</v>
      </c>
      <c r="Z9" s="80" t="s">
        <v>351</v>
      </c>
      <c r="AA9" s="80" t="s">
        <v>441</v>
      </c>
      <c r="AB9" s="80" t="s">
        <v>366</v>
      </c>
      <c r="AC9" s="79" t="s">
        <v>351</v>
      </c>
    </row>
    <row r="10" spans="1:31">
      <c r="A10" s="81" t="s">
        <v>335</v>
      </c>
      <c r="B10" s="80" t="s">
        <v>369</v>
      </c>
      <c r="C10" s="80" t="s">
        <v>370</v>
      </c>
      <c r="D10" s="80" t="s">
        <v>396</v>
      </c>
      <c r="E10" s="80"/>
      <c r="F10" s="79"/>
      <c r="G10" s="81" t="s">
        <v>335</v>
      </c>
      <c r="H10" s="80" t="s">
        <v>397</v>
      </c>
      <c r="I10" s="80" t="s">
        <v>387</v>
      </c>
      <c r="J10" s="80" t="s">
        <v>376</v>
      </c>
      <c r="K10" s="80"/>
      <c r="L10" s="79"/>
      <c r="M10" s="81" t="s">
        <v>335</v>
      </c>
      <c r="N10" s="80" t="s">
        <v>398</v>
      </c>
      <c r="O10" s="80" t="s">
        <v>454</v>
      </c>
      <c r="P10" s="80" t="s">
        <v>447</v>
      </c>
      <c r="Q10" s="80"/>
      <c r="R10" s="79"/>
      <c r="S10" s="81" t="s">
        <v>335</v>
      </c>
      <c r="T10" s="80" t="s">
        <v>381</v>
      </c>
      <c r="U10" s="80" t="s">
        <v>362</v>
      </c>
      <c r="V10" s="80" t="s">
        <v>259</v>
      </c>
      <c r="W10" s="79"/>
      <c r="X10" s="79"/>
      <c r="Y10" s="81" t="s">
        <v>335</v>
      </c>
      <c r="Z10" s="80" t="s">
        <v>381</v>
      </c>
      <c r="AA10" s="80" t="s">
        <v>362</v>
      </c>
      <c r="AB10" s="80" t="s">
        <v>592</v>
      </c>
      <c r="AC10" s="79"/>
      <c r="AD10" s="79"/>
      <c r="AE10" s="79"/>
    </row>
    <row r="11" spans="1:31">
      <c r="A11" s="79"/>
      <c r="B11" s="80"/>
      <c r="C11" s="80"/>
      <c r="D11" s="80"/>
      <c r="E11" s="80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79"/>
      <c r="V11" s="80"/>
      <c r="W11" s="79"/>
      <c r="AA11" s="80"/>
    </row>
    <row r="12" spans="1:31">
      <c r="A12" s="79"/>
      <c r="B12" s="80"/>
      <c r="C12" s="80"/>
      <c r="D12" s="80"/>
      <c r="E12" s="80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80"/>
      <c r="V12" s="80"/>
      <c r="W12" s="79"/>
      <c r="AB12" s="80" t="s">
        <v>594</v>
      </c>
    </row>
    <row r="13" spans="1:31">
      <c r="A13" s="79"/>
      <c r="B13" s="118" t="s">
        <v>565</v>
      </c>
      <c r="C13" s="118"/>
      <c r="D13" s="118"/>
      <c r="E13" s="80" t="s">
        <v>568</v>
      </c>
      <c r="F13" s="79"/>
      <c r="G13" s="79"/>
      <c r="H13" s="118" t="s">
        <v>565</v>
      </c>
      <c r="I13" s="118"/>
      <c r="J13" s="118"/>
      <c r="K13" s="80" t="s">
        <v>566</v>
      </c>
      <c r="L13" s="79"/>
      <c r="M13" s="79"/>
      <c r="N13" s="118" t="s">
        <v>565</v>
      </c>
      <c r="O13" s="118"/>
      <c r="P13" s="118"/>
      <c r="Q13" s="80" t="s">
        <v>567</v>
      </c>
      <c r="R13" s="79"/>
      <c r="S13" s="79"/>
      <c r="T13" s="118" t="s">
        <v>565</v>
      </c>
      <c r="U13" s="118"/>
      <c r="V13" s="118"/>
      <c r="W13" s="79" t="s">
        <v>246</v>
      </c>
      <c r="Y13" s="79" t="s">
        <v>606</v>
      </c>
      <c r="Z13" s="79"/>
      <c r="AA13" s="79"/>
      <c r="AB13" s="79" t="s">
        <v>574</v>
      </c>
      <c r="AC13" s="79" t="s">
        <v>562</v>
      </c>
    </row>
    <row r="14" spans="1:31">
      <c r="A14" s="79"/>
      <c r="B14" s="80" t="s">
        <v>334</v>
      </c>
      <c r="C14" s="80" t="s">
        <v>267</v>
      </c>
      <c r="D14" s="80" t="s">
        <v>274</v>
      </c>
      <c r="E14" s="79" t="s">
        <v>436</v>
      </c>
      <c r="F14" s="79" t="s">
        <v>437</v>
      </c>
      <c r="G14" s="79"/>
      <c r="H14" s="80" t="s">
        <v>334</v>
      </c>
      <c r="I14" s="80" t="s">
        <v>267</v>
      </c>
      <c r="J14" s="80" t="s">
        <v>274</v>
      </c>
      <c r="K14" s="79" t="s">
        <v>436</v>
      </c>
      <c r="L14" s="79" t="s">
        <v>437</v>
      </c>
      <c r="M14" s="79"/>
      <c r="N14" s="80" t="s">
        <v>334</v>
      </c>
      <c r="O14" s="80" t="s">
        <v>267</v>
      </c>
      <c r="P14" s="80" t="s">
        <v>274</v>
      </c>
      <c r="Q14" s="79" t="s">
        <v>436</v>
      </c>
      <c r="R14" s="79" t="s">
        <v>437</v>
      </c>
      <c r="S14" s="79"/>
      <c r="T14" s="80" t="s">
        <v>334</v>
      </c>
      <c r="U14" s="80" t="s">
        <v>267</v>
      </c>
      <c r="V14" s="80" t="s">
        <v>274</v>
      </c>
      <c r="W14" s="79" t="s">
        <v>436</v>
      </c>
      <c r="X14" s="79" t="s">
        <v>437</v>
      </c>
      <c r="Y14" s="79"/>
      <c r="Z14" s="80"/>
      <c r="AA14" s="80"/>
      <c r="AB14" s="80" t="s">
        <v>558</v>
      </c>
      <c r="AC14" s="79" t="s">
        <v>562</v>
      </c>
      <c r="AD14" s="79"/>
    </row>
    <row r="15" spans="1:31">
      <c r="A15" s="79">
        <v>1</v>
      </c>
      <c r="B15" s="80" t="s">
        <v>336</v>
      </c>
      <c r="C15" s="80" t="s">
        <v>259</v>
      </c>
      <c r="D15" s="80" t="s">
        <v>340</v>
      </c>
      <c r="E15" s="80" t="s">
        <v>340</v>
      </c>
      <c r="F15" s="79"/>
      <c r="G15" s="79">
        <v>1</v>
      </c>
      <c r="H15" s="80" t="s">
        <v>427</v>
      </c>
      <c r="I15" s="80" t="s">
        <v>384</v>
      </c>
      <c r="J15" s="80" t="s">
        <v>417</v>
      </c>
      <c r="K15" s="80" t="s">
        <v>417</v>
      </c>
      <c r="L15" s="79" t="s">
        <v>475</v>
      </c>
      <c r="M15" s="79">
        <v>1</v>
      </c>
      <c r="N15" s="80" t="s">
        <v>406</v>
      </c>
      <c r="O15" s="80" t="s">
        <v>446</v>
      </c>
      <c r="P15" s="80" t="s">
        <v>396</v>
      </c>
      <c r="Q15" s="80"/>
      <c r="R15" s="79"/>
      <c r="S15" s="79">
        <v>1</v>
      </c>
      <c r="T15" s="80" t="s">
        <v>401</v>
      </c>
      <c r="U15" s="80" t="s">
        <v>412</v>
      </c>
      <c r="V15" s="80" t="s">
        <v>357</v>
      </c>
      <c r="W15" s="79"/>
      <c r="X15" s="79" t="s">
        <v>420</v>
      </c>
      <c r="Y15" s="79" t="s">
        <v>607</v>
      </c>
      <c r="Z15" s="80" t="s">
        <v>442</v>
      </c>
      <c r="AA15" s="80"/>
      <c r="AB15" s="80" t="s">
        <v>559</v>
      </c>
      <c r="AC15" s="79" t="s">
        <v>562</v>
      </c>
      <c r="AD15" s="79"/>
    </row>
    <row r="16" spans="1:31">
      <c r="A16" s="79">
        <v>2</v>
      </c>
      <c r="B16" s="80" t="s">
        <v>337</v>
      </c>
      <c r="C16" s="80" t="s">
        <v>454</v>
      </c>
      <c r="D16" s="80" t="s">
        <v>458</v>
      </c>
      <c r="E16" s="80"/>
      <c r="F16" s="79"/>
      <c r="G16" s="79">
        <v>2</v>
      </c>
      <c r="H16" s="80" t="s">
        <v>423</v>
      </c>
      <c r="I16" s="80" t="s">
        <v>385</v>
      </c>
      <c r="J16" s="80" t="s">
        <v>501</v>
      </c>
      <c r="K16" s="80" t="s">
        <v>385</v>
      </c>
      <c r="L16" s="79"/>
      <c r="M16" s="79">
        <v>2</v>
      </c>
      <c r="N16" s="80" t="s">
        <v>413</v>
      </c>
      <c r="O16" s="80" t="s">
        <v>519</v>
      </c>
      <c r="P16" s="80" t="s">
        <v>415</v>
      </c>
      <c r="Q16" s="80"/>
      <c r="R16" s="79"/>
      <c r="S16" s="79">
        <v>2</v>
      </c>
      <c r="T16" s="80" t="s">
        <v>398</v>
      </c>
      <c r="U16" s="80" t="s">
        <v>358</v>
      </c>
      <c r="V16" s="80" t="s">
        <v>366</v>
      </c>
      <c r="W16" s="79"/>
      <c r="Y16" s="79"/>
      <c r="Z16" s="80"/>
      <c r="AA16" s="80"/>
      <c r="AB16" s="80" t="s">
        <v>203</v>
      </c>
      <c r="AC16" s="80"/>
    </row>
    <row r="17" spans="1:31">
      <c r="A17" s="79">
        <v>3</v>
      </c>
      <c r="B17" s="80" t="s">
        <v>367</v>
      </c>
      <c r="C17" s="80" t="s">
        <v>346</v>
      </c>
      <c r="D17" s="80" t="s">
        <v>348</v>
      </c>
      <c r="E17" s="80" t="s">
        <v>367</v>
      </c>
      <c r="F17" s="79"/>
      <c r="G17" s="79">
        <v>3</v>
      </c>
      <c r="H17" s="80" t="s">
        <v>379</v>
      </c>
      <c r="I17" s="80" t="s">
        <v>266</v>
      </c>
      <c r="J17" s="80" t="s">
        <v>389</v>
      </c>
      <c r="K17" s="80" t="s">
        <v>389</v>
      </c>
      <c r="L17" s="79"/>
      <c r="M17" s="79">
        <v>3</v>
      </c>
      <c r="N17" s="80" t="s">
        <v>381</v>
      </c>
      <c r="O17" s="80" t="s">
        <v>402</v>
      </c>
      <c r="P17" s="80" t="s">
        <v>383</v>
      </c>
      <c r="Q17" s="80"/>
      <c r="R17" s="79"/>
      <c r="S17" s="79">
        <v>3</v>
      </c>
      <c r="T17" s="80" t="s">
        <v>409</v>
      </c>
      <c r="U17" s="80" t="s">
        <v>362</v>
      </c>
      <c r="V17" s="80" t="s">
        <v>365</v>
      </c>
      <c r="W17" s="79" t="s">
        <v>494</v>
      </c>
      <c r="Y17" s="79"/>
      <c r="Z17" s="80"/>
      <c r="AA17" s="80"/>
      <c r="AB17" s="80" t="s">
        <v>596</v>
      </c>
      <c r="AC17" s="80" t="s">
        <v>595</v>
      </c>
    </row>
    <row r="18" spans="1:31">
      <c r="A18" s="79">
        <v>4</v>
      </c>
      <c r="B18" s="80" t="s">
        <v>339</v>
      </c>
      <c r="C18" s="80" t="s">
        <v>448</v>
      </c>
      <c r="D18" s="80" t="s">
        <v>394</v>
      </c>
      <c r="E18" s="80"/>
      <c r="F18" s="79"/>
      <c r="G18" s="79">
        <v>4</v>
      </c>
      <c r="H18" s="80" t="s">
        <v>380</v>
      </c>
      <c r="I18" s="80" t="s">
        <v>441</v>
      </c>
      <c r="J18" s="80" t="s">
        <v>388</v>
      </c>
      <c r="K18" s="80"/>
      <c r="L18" s="79"/>
      <c r="M18" s="79">
        <v>4</v>
      </c>
      <c r="N18" s="80" t="s">
        <v>378</v>
      </c>
      <c r="O18" s="80" t="s">
        <v>363</v>
      </c>
      <c r="P18" s="80" t="s">
        <v>444</v>
      </c>
      <c r="Q18" s="80" t="s">
        <v>363</v>
      </c>
      <c r="R18" s="79"/>
      <c r="S18" s="79">
        <v>4</v>
      </c>
      <c r="T18" s="80" t="s">
        <v>353</v>
      </c>
      <c r="U18" s="80" t="s">
        <v>359</v>
      </c>
      <c r="V18" s="80" t="s">
        <v>404</v>
      </c>
      <c r="W18" s="79" t="s">
        <v>404</v>
      </c>
      <c r="X18" s="49"/>
      <c r="Y18" s="79"/>
      <c r="Z18" s="80"/>
      <c r="AA18" s="80"/>
      <c r="AB18" s="80" t="s">
        <v>558</v>
      </c>
      <c r="AC18" s="80" t="s">
        <v>559</v>
      </c>
    </row>
    <row r="19" spans="1:31">
      <c r="A19" s="79">
        <v>5</v>
      </c>
      <c r="B19" s="80" t="s">
        <v>372</v>
      </c>
      <c r="C19" s="80" t="s">
        <v>390</v>
      </c>
      <c r="D19" s="80" t="s">
        <v>342</v>
      </c>
      <c r="E19" s="80"/>
      <c r="F19" s="79"/>
      <c r="G19" s="79">
        <v>5</v>
      </c>
      <c r="H19" s="80" t="s">
        <v>502</v>
      </c>
      <c r="I19" s="80" t="s">
        <v>382</v>
      </c>
      <c r="J19" s="80" t="s">
        <v>407</v>
      </c>
      <c r="K19" s="80"/>
      <c r="L19" s="79" t="s">
        <v>605</v>
      </c>
      <c r="M19" s="79">
        <v>5</v>
      </c>
      <c r="N19" s="80" t="s">
        <v>400</v>
      </c>
      <c r="O19" s="80" t="s">
        <v>530</v>
      </c>
      <c r="P19" s="80" t="s">
        <v>403</v>
      </c>
      <c r="Q19" s="80" t="s">
        <v>403</v>
      </c>
      <c r="R19" s="79"/>
      <c r="S19" s="79">
        <v>5</v>
      </c>
      <c r="T19" s="80" t="s">
        <v>399</v>
      </c>
      <c r="U19" s="80" t="s">
        <v>356</v>
      </c>
      <c r="V19" s="80" t="s">
        <v>416</v>
      </c>
      <c r="W19" s="79"/>
      <c r="Y19" s="79"/>
      <c r="Z19" s="80"/>
      <c r="AA19" s="80"/>
      <c r="AB19" s="80" t="s">
        <v>598</v>
      </c>
      <c r="AC19" s="80"/>
    </row>
    <row r="20" spans="1:31">
      <c r="A20" s="81" t="s">
        <v>335</v>
      </c>
      <c r="B20" s="80" t="s">
        <v>419</v>
      </c>
      <c r="C20" s="80" t="s">
        <v>387</v>
      </c>
      <c r="D20" s="80" t="s">
        <v>498</v>
      </c>
      <c r="E20" s="80"/>
      <c r="F20" s="79"/>
      <c r="G20" s="81" t="s">
        <v>335</v>
      </c>
      <c r="H20" s="80" t="s">
        <v>368</v>
      </c>
      <c r="I20" s="80" t="s">
        <v>443</v>
      </c>
      <c r="J20" s="80" t="s">
        <v>343</v>
      </c>
      <c r="K20" s="80"/>
      <c r="L20" s="79"/>
      <c r="M20" s="81" t="s">
        <v>335</v>
      </c>
      <c r="N20" s="80" t="s">
        <v>369</v>
      </c>
      <c r="O20" s="80" t="s">
        <v>370</v>
      </c>
      <c r="P20" s="80" t="s">
        <v>376</v>
      </c>
      <c r="Q20" s="80"/>
      <c r="R20" s="79"/>
      <c r="S20" s="81" t="s">
        <v>335</v>
      </c>
      <c r="T20" s="80" t="s">
        <v>414</v>
      </c>
      <c r="U20" s="80" t="s">
        <v>373</v>
      </c>
      <c r="V20" s="80" t="s">
        <v>331</v>
      </c>
      <c r="W20" s="79"/>
      <c r="X20" s="79"/>
      <c r="Y20" s="81"/>
      <c r="Z20" s="80"/>
      <c r="AA20" s="80"/>
      <c r="AB20" s="80"/>
      <c r="AC20" s="80"/>
      <c r="AD20" s="79"/>
    </row>
    <row r="21" spans="1:31">
      <c r="A21" s="145" t="s">
        <v>560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</row>
    <row r="22" spans="1:31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</row>
    <row r="23" spans="1:31">
      <c r="A23" s="79"/>
      <c r="B23" s="118" t="s">
        <v>564</v>
      </c>
      <c r="C23" s="118"/>
      <c r="D23" s="118"/>
      <c r="E23" s="80"/>
      <c r="F23" s="79"/>
      <c r="G23" s="79"/>
      <c r="H23" s="118" t="s">
        <v>564</v>
      </c>
      <c r="I23" s="118"/>
      <c r="J23" s="118"/>
      <c r="K23" s="80"/>
      <c r="L23" s="79"/>
      <c r="M23" s="79"/>
      <c r="N23" s="118" t="s">
        <v>564</v>
      </c>
      <c r="O23" s="118"/>
      <c r="P23" s="118"/>
      <c r="Q23" s="80"/>
      <c r="R23" s="79"/>
      <c r="S23" s="79"/>
      <c r="T23" s="118" t="s">
        <v>573</v>
      </c>
      <c r="U23" s="118"/>
      <c r="V23" s="118"/>
      <c r="W23" s="79"/>
      <c r="Y23" s="79"/>
      <c r="Z23" s="118" t="s">
        <v>586</v>
      </c>
      <c r="AA23" s="118"/>
      <c r="AB23" s="118"/>
      <c r="AC23" s="79"/>
    </row>
    <row r="24" spans="1:31">
      <c r="A24" s="79"/>
      <c r="B24" s="80" t="s">
        <v>334</v>
      </c>
      <c r="C24" s="80" t="s">
        <v>267</v>
      </c>
      <c r="D24" s="80" t="s">
        <v>274</v>
      </c>
      <c r="E24" s="79" t="s">
        <v>436</v>
      </c>
      <c r="F24" s="79" t="s">
        <v>437</v>
      </c>
      <c r="G24" s="79"/>
      <c r="H24" s="80" t="s">
        <v>334</v>
      </c>
      <c r="I24" s="80" t="s">
        <v>267</v>
      </c>
      <c r="J24" s="80" t="s">
        <v>274</v>
      </c>
      <c r="K24" s="79" t="s">
        <v>436</v>
      </c>
      <c r="L24" s="79" t="s">
        <v>437</v>
      </c>
      <c r="M24" s="79"/>
      <c r="N24" s="80" t="s">
        <v>334</v>
      </c>
      <c r="O24" s="80" t="s">
        <v>267</v>
      </c>
      <c r="P24" s="80" t="s">
        <v>274</v>
      </c>
      <c r="Q24" s="79" t="s">
        <v>436</v>
      </c>
      <c r="R24" s="79" t="s">
        <v>437</v>
      </c>
      <c r="S24" s="79"/>
      <c r="T24" s="80" t="s">
        <v>334</v>
      </c>
      <c r="U24" s="80" t="s">
        <v>267</v>
      </c>
      <c r="V24" s="80" t="s">
        <v>274</v>
      </c>
      <c r="W24" s="79" t="s">
        <v>436</v>
      </c>
      <c r="X24" s="79" t="s">
        <v>437</v>
      </c>
      <c r="Y24" s="79"/>
      <c r="Z24" s="80" t="s">
        <v>334</v>
      </c>
      <c r="AA24" s="80" t="s">
        <v>267</v>
      </c>
      <c r="AB24" s="80" t="s">
        <v>274</v>
      </c>
      <c r="AC24" s="79" t="s">
        <v>436</v>
      </c>
      <c r="AD24" s="79" t="s">
        <v>437</v>
      </c>
      <c r="AE24" s="79"/>
    </row>
    <row r="25" spans="1:31">
      <c r="A25" s="79">
        <v>1</v>
      </c>
      <c r="B25" s="80" t="s">
        <v>339</v>
      </c>
      <c r="C25" s="80" t="s">
        <v>390</v>
      </c>
      <c r="D25" s="80" t="s">
        <v>417</v>
      </c>
      <c r="E25" s="80" t="s">
        <v>417</v>
      </c>
      <c r="F25" s="79"/>
      <c r="G25" s="79">
        <v>1</v>
      </c>
      <c r="H25" s="80" t="s">
        <v>367</v>
      </c>
      <c r="I25" s="80" t="s">
        <v>331</v>
      </c>
      <c r="J25" s="80" t="s">
        <v>342</v>
      </c>
      <c r="K25" s="80" t="s">
        <v>367</v>
      </c>
      <c r="L25" s="79" t="s">
        <v>420</v>
      </c>
      <c r="M25" s="79">
        <v>1</v>
      </c>
      <c r="N25" s="80" t="s">
        <v>377</v>
      </c>
      <c r="O25" s="80" t="s">
        <v>392</v>
      </c>
      <c r="P25" s="80" t="s">
        <v>416</v>
      </c>
      <c r="Q25" s="80"/>
      <c r="R25" s="79"/>
      <c r="S25" s="79">
        <v>1</v>
      </c>
      <c r="T25" s="80" t="s">
        <v>442</v>
      </c>
      <c r="U25" s="80" t="s">
        <v>533</v>
      </c>
      <c r="V25" s="80" t="s">
        <v>365</v>
      </c>
      <c r="W25" s="79"/>
      <c r="X25" s="79"/>
      <c r="Y25" s="79">
        <v>1</v>
      </c>
      <c r="Z25" s="80" t="s">
        <v>442</v>
      </c>
      <c r="AA25" s="80" t="s">
        <v>356</v>
      </c>
      <c r="AB25" s="80" t="s">
        <v>365</v>
      </c>
      <c r="AC25" s="79"/>
      <c r="AD25" s="79"/>
      <c r="AE25" s="79"/>
    </row>
    <row r="26" spans="1:31">
      <c r="A26" s="79">
        <v>2</v>
      </c>
      <c r="B26" s="80" t="s">
        <v>569</v>
      </c>
      <c r="C26" s="80" t="s">
        <v>269</v>
      </c>
      <c r="D26" s="80" t="s">
        <v>343</v>
      </c>
      <c r="E26" s="80"/>
      <c r="F26" s="79"/>
      <c r="G26" s="79">
        <v>2</v>
      </c>
      <c r="H26" s="80" t="s">
        <v>419</v>
      </c>
      <c r="I26" s="80" t="s">
        <v>402</v>
      </c>
      <c r="J26" s="80" t="s">
        <v>444</v>
      </c>
      <c r="K26" s="80"/>
      <c r="L26" s="79"/>
      <c r="M26" s="79">
        <v>2</v>
      </c>
      <c r="N26" s="80" t="s">
        <v>406</v>
      </c>
      <c r="O26" s="80" t="s">
        <v>384</v>
      </c>
      <c r="P26" s="80" t="s">
        <v>395</v>
      </c>
      <c r="Q26" s="80"/>
      <c r="R26" s="79"/>
      <c r="S26" s="79">
        <v>2</v>
      </c>
      <c r="T26" s="80" t="s">
        <v>351</v>
      </c>
      <c r="U26" s="80" t="s">
        <v>443</v>
      </c>
      <c r="V26" s="80" t="s">
        <v>405</v>
      </c>
      <c r="W26" s="79" t="s">
        <v>351</v>
      </c>
      <c r="Y26" s="79">
        <v>2</v>
      </c>
      <c r="Z26" s="80" t="s">
        <v>413</v>
      </c>
      <c r="AA26" s="80" t="s">
        <v>443</v>
      </c>
      <c r="AB26" s="80" t="s">
        <v>405</v>
      </c>
      <c r="AC26" s="79"/>
    </row>
    <row r="27" spans="1:31">
      <c r="A27" s="79">
        <v>3</v>
      </c>
      <c r="B27" s="80" t="s">
        <v>372</v>
      </c>
      <c r="C27" s="80" t="s">
        <v>375</v>
      </c>
      <c r="D27" s="80" t="s">
        <v>348</v>
      </c>
      <c r="E27" s="80"/>
      <c r="F27" s="79"/>
      <c r="G27" s="79">
        <v>3</v>
      </c>
      <c r="H27" s="80" t="s">
        <v>336</v>
      </c>
      <c r="I27" s="80" t="s">
        <v>414</v>
      </c>
      <c r="J27" s="80" t="s">
        <v>363</v>
      </c>
      <c r="K27" s="80" t="s">
        <v>363</v>
      </c>
      <c r="L27" s="79"/>
      <c r="M27" s="79">
        <v>3</v>
      </c>
      <c r="N27" s="80" t="s">
        <v>379</v>
      </c>
      <c r="O27" s="80" t="s">
        <v>485</v>
      </c>
      <c r="P27" s="80" t="s">
        <v>430</v>
      </c>
      <c r="Q27" s="80"/>
      <c r="R27" s="79"/>
      <c r="S27" s="79">
        <v>3</v>
      </c>
      <c r="T27" s="80" t="s">
        <v>435</v>
      </c>
      <c r="U27" s="80" t="s">
        <v>261</v>
      </c>
      <c r="V27" s="80" t="s">
        <v>535</v>
      </c>
      <c r="W27" s="79" t="s">
        <v>588</v>
      </c>
      <c r="Y27" s="79">
        <v>3</v>
      </c>
      <c r="Z27" s="80" t="s">
        <v>353</v>
      </c>
      <c r="AA27" s="80" t="s">
        <v>261</v>
      </c>
      <c r="AB27" s="80" t="s">
        <v>270</v>
      </c>
      <c r="AC27" s="79"/>
    </row>
    <row r="28" spans="1:31">
      <c r="A28" s="79">
        <v>4</v>
      </c>
      <c r="B28" s="80" t="s">
        <v>368</v>
      </c>
      <c r="C28" s="80" t="s">
        <v>346</v>
      </c>
      <c r="D28" s="80" t="s">
        <v>394</v>
      </c>
      <c r="E28" s="80" t="s">
        <v>368</v>
      </c>
      <c r="F28" s="79"/>
      <c r="G28" s="79">
        <v>4</v>
      </c>
      <c r="H28" s="80" t="s">
        <v>401</v>
      </c>
      <c r="I28" s="80" t="s">
        <v>412</v>
      </c>
      <c r="J28" s="80" t="s">
        <v>415</v>
      </c>
      <c r="K28" s="80"/>
      <c r="L28" s="79" t="s">
        <v>374</v>
      </c>
      <c r="M28" s="79">
        <v>4</v>
      </c>
      <c r="N28" s="80" t="s">
        <v>380</v>
      </c>
      <c r="O28" s="80" t="s">
        <v>385</v>
      </c>
      <c r="P28" s="80" t="s">
        <v>383</v>
      </c>
      <c r="Q28" s="80" t="s">
        <v>385</v>
      </c>
      <c r="R28" s="79"/>
      <c r="S28" s="79">
        <v>4</v>
      </c>
      <c r="T28" s="80" t="s">
        <v>399</v>
      </c>
      <c r="U28" s="80" t="s">
        <v>373</v>
      </c>
      <c r="V28" s="80" t="s">
        <v>404</v>
      </c>
      <c r="W28" s="79" t="s">
        <v>404</v>
      </c>
      <c r="Y28" s="79">
        <v>4</v>
      </c>
      <c r="Z28" s="80" t="s">
        <v>406</v>
      </c>
      <c r="AA28" s="80" t="s">
        <v>373</v>
      </c>
      <c r="AB28" s="80" t="s">
        <v>404</v>
      </c>
      <c r="AC28" s="79" t="s">
        <v>404</v>
      </c>
    </row>
    <row r="29" spans="1:31">
      <c r="A29" s="79">
        <v>5</v>
      </c>
      <c r="B29" s="80" t="s">
        <v>340</v>
      </c>
      <c r="C29" s="80" t="s">
        <v>347</v>
      </c>
      <c r="D29" s="80" t="s">
        <v>458</v>
      </c>
      <c r="E29" s="80" t="s">
        <v>340</v>
      </c>
      <c r="F29" s="79"/>
      <c r="G29" s="79">
        <v>5</v>
      </c>
      <c r="H29" s="80" t="s">
        <v>413</v>
      </c>
      <c r="I29" s="80" t="s">
        <v>583</v>
      </c>
      <c r="J29" s="80" t="s">
        <v>422</v>
      </c>
      <c r="K29" s="80"/>
      <c r="L29" s="79"/>
      <c r="M29" s="79">
        <v>5</v>
      </c>
      <c r="N29" s="80" t="s">
        <v>427</v>
      </c>
      <c r="O29" s="80" t="s">
        <v>441</v>
      </c>
      <c r="P29" s="80" t="s">
        <v>389</v>
      </c>
      <c r="Q29" s="80" t="s">
        <v>389</v>
      </c>
      <c r="R29" s="79" t="s">
        <v>445</v>
      </c>
      <c r="S29" s="79">
        <v>5</v>
      </c>
      <c r="T29" s="80" t="s">
        <v>353</v>
      </c>
      <c r="U29" s="80" t="s">
        <v>356</v>
      </c>
      <c r="V29" s="80" t="s">
        <v>410</v>
      </c>
      <c r="W29" s="79"/>
      <c r="Y29" s="79">
        <v>5</v>
      </c>
      <c r="Z29" s="80" t="s">
        <v>351</v>
      </c>
      <c r="AA29" s="80" t="s">
        <v>533</v>
      </c>
      <c r="AB29" s="80" t="s">
        <v>535</v>
      </c>
      <c r="AC29" s="79" t="s">
        <v>351</v>
      </c>
    </row>
    <row r="30" spans="1:31">
      <c r="A30" s="81" t="s">
        <v>335</v>
      </c>
      <c r="B30" s="80" t="s">
        <v>369</v>
      </c>
      <c r="C30" s="80" t="s">
        <v>370</v>
      </c>
      <c r="D30" s="80"/>
      <c r="E30" s="80"/>
      <c r="F30" s="79"/>
      <c r="G30" s="81" t="s">
        <v>335</v>
      </c>
      <c r="H30" s="80" t="s">
        <v>397</v>
      </c>
      <c r="I30" s="80" t="s">
        <v>387</v>
      </c>
      <c r="J30" s="80" t="s">
        <v>376</v>
      </c>
      <c r="K30" s="80"/>
      <c r="L30" s="79"/>
      <c r="M30" s="81" t="s">
        <v>335</v>
      </c>
      <c r="N30" s="80" t="s">
        <v>398</v>
      </c>
      <c r="O30" s="80" t="s">
        <v>411</v>
      </c>
      <c r="P30" s="80" t="s">
        <v>454</v>
      </c>
      <c r="Q30" s="80"/>
      <c r="R30" s="79"/>
      <c r="S30" s="81" t="s">
        <v>335</v>
      </c>
      <c r="T30" s="80"/>
      <c r="U30" s="80" t="s">
        <v>362</v>
      </c>
      <c r="V30" s="80" t="s">
        <v>259</v>
      </c>
      <c r="W30" s="79"/>
      <c r="X30" s="79"/>
      <c r="Y30" s="81" t="s">
        <v>335</v>
      </c>
      <c r="Z30" s="80"/>
      <c r="AA30" s="80" t="s">
        <v>362</v>
      </c>
      <c r="AB30" s="80"/>
      <c r="AC30" s="79"/>
      <c r="AD30" s="79"/>
      <c r="AE30" s="79"/>
    </row>
    <row r="31" spans="1:31">
      <c r="A31" s="79"/>
      <c r="B31" s="80"/>
      <c r="C31" s="80"/>
      <c r="D31" s="80"/>
      <c r="E31" s="80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79"/>
      <c r="V31" s="80"/>
      <c r="W31" s="79"/>
    </row>
    <row r="32" spans="1:31">
      <c r="A32" s="79"/>
      <c r="B32" s="80"/>
      <c r="C32" s="80"/>
      <c r="D32" s="80"/>
      <c r="E32" s="80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80"/>
      <c r="V32" s="79"/>
      <c r="W32" s="79"/>
    </row>
    <row r="33" spans="1:30">
      <c r="A33" s="79"/>
      <c r="B33" s="118" t="s">
        <v>565</v>
      </c>
      <c r="C33" s="118"/>
      <c r="D33" s="118"/>
      <c r="E33" s="80" t="s">
        <v>568</v>
      </c>
      <c r="F33" s="79"/>
      <c r="G33" s="79"/>
      <c r="H33" s="118" t="s">
        <v>565</v>
      </c>
      <c r="I33" s="118"/>
      <c r="J33" s="118"/>
      <c r="K33" s="80" t="s">
        <v>566</v>
      </c>
      <c r="L33" s="79"/>
      <c r="M33" s="79"/>
      <c r="N33" s="118" t="s">
        <v>565</v>
      </c>
      <c r="O33" s="118"/>
      <c r="P33" s="118"/>
      <c r="Q33" s="80" t="s">
        <v>567</v>
      </c>
      <c r="R33" s="79"/>
      <c r="S33" s="79"/>
      <c r="T33" s="118" t="s">
        <v>565</v>
      </c>
      <c r="U33" s="118"/>
      <c r="V33" s="118"/>
      <c r="W33" s="79" t="s">
        <v>246</v>
      </c>
      <c r="Y33" s="79"/>
      <c r="Z33" s="118" t="s">
        <v>589</v>
      </c>
      <c r="AA33" s="118"/>
      <c r="AB33" s="118"/>
      <c r="AC33" s="79"/>
    </row>
    <row r="34" spans="1:30">
      <c r="A34" s="79"/>
      <c r="B34" s="80" t="s">
        <v>334</v>
      </c>
      <c r="C34" s="80" t="s">
        <v>267</v>
      </c>
      <c r="D34" s="80" t="s">
        <v>274</v>
      </c>
      <c r="E34" s="79" t="s">
        <v>436</v>
      </c>
      <c r="F34" s="79" t="s">
        <v>437</v>
      </c>
      <c r="G34" s="79"/>
      <c r="H34" s="80" t="s">
        <v>334</v>
      </c>
      <c r="I34" s="80" t="s">
        <v>267</v>
      </c>
      <c r="J34" s="80" t="s">
        <v>274</v>
      </c>
      <c r="K34" s="79" t="s">
        <v>436</v>
      </c>
      <c r="L34" s="79" t="s">
        <v>437</v>
      </c>
      <c r="M34" s="79"/>
      <c r="N34" s="80" t="s">
        <v>334</v>
      </c>
      <c r="O34" s="80" t="s">
        <v>267</v>
      </c>
      <c r="P34" s="80" t="s">
        <v>274</v>
      </c>
      <c r="Q34" s="79" t="s">
        <v>436</v>
      </c>
      <c r="R34" s="79" t="s">
        <v>437</v>
      </c>
      <c r="S34" s="79"/>
      <c r="T34" s="80" t="s">
        <v>334</v>
      </c>
      <c r="U34" s="80" t="s">
        <v>267</v>
      </c>
      <c r="V34" s="80" t="s">
        <v>274</v>
      </c>
      <c r="W34" s="79" t="s">
        <v>436</v>
      </c>
      <c r="X34" s="79" t="s">
        <v>437</v>
      </c>
      <c r="Y34" s="79"/>
      <c r="Z34" s="80" t="s">
        <v>334</v>
      </c>
      <c r="AA34" s="80" t="s">
        <v>267</v>
      </c>
      <c r="AB34" s="80" t="s">
        <v>274</v>
      </c>
      <c r="AC34" s="79" t="s">
        <v>436</v>
      </c>
      <c r="AD34" s="79" t="s">
        <v>437</v>
      </c>
    </row>
    <row r="35" spans="1:30">
      <c r="A35" s="79">
        <v>1</v>
      </c>
      <c r="B35" s="80" t="s">
        <v>336</v>
      </c>
      <c r="C35" s="80" t="s">
        <v>259</v>
      </c>
      <c r="D35" s="80" t="s">
        <v>340</v>
      </c>
      <c r="E35" s="80" t="s">
        <v>340</v>
      </c>
      <c r="F35" s="79"/>
      <c r="G35" s="79">
        <v>1</v>
      </c>
      <c r="H35" s="80" t="s">
        <v>427</v>
      </c>
      <c r="I35" s="80" t="s">
        <v>384</v>
      </c>
      <c r="J35" s="80" t="s">
        <v>417</v>
      </c>
      <c r="K35" s="80" t="s">
        <v>417</v>
      </c>
      <c r="L35" s="79" t="s">
        <v>512</v>
      </c>
      <c r="M35" s="79">
        <v>1</v>
      </c>
      <c r="N35" s="80" t="s">
        <v>406</v>
      </c>
      <c r="O35" s="80" t="s">
        <v>446</v>
      </c>
      <c r="P35" s="80" t="s">
        <v>396</v>
      </c>
      <c r="Q35" s="80"/>
      <c r="R35" s="79"/>
      <c r="S35" s="79">
        <v>1</v>
      </c>
      <c r="T35" s="80" t="s">
        <v>401</v>
      </c>
      <c r="U35" s="80" t="s">
        <v>412</v>
      </c>
      <c r="V35" s="80" t="s">
        <v>357</v>
      </c>
      <c r="W35" s="79"/>
      <c r="X35" s="79" t="s">
        <v>415</v>
      </c>
      <c r="Y35" s="79">
        <v>1</v>
      </c>
      <c r="Z35" s="80"/>
      <c r="AA35" s="80"/>
      <c r="AB35" s="80"/>
      <c r="AC35" s="80"/>
      <c r="AD35" s="79"/>
    </row>
    <row r="36" spans="1:30">
      <c r="A36" s="79">
        <v>2</v>
      </c>
      <c r="B36" s="80" t="s">
        <v>337</v>
      </c>
      <c r="C36" s="80" t="s">
        <v>454</v>
      </c>
      <c r="D36" s="80" t="s">
        <v>458</v>
      </c>
      <c r="E36" s="80"/>
      <c r="F36" s="79"/>
      <c r="G36" s="79">
        <v>2</v>
      </c>
      <c r="H36" s="80" t="s">
        <v>423</v>
      </c>
      <c r="I36" s="80" t="s">
        <v>385</v>
      </c>
      <c r="J36" s="80" t="s">
        <v>501</v>
      </c>
      <c r="K36" s="80" t="s">
        <v>385</v>
      </c>
      <c r="L36" s="79"/>
      <c r="M36" s="79">
        <v>2</v>
      </c>
      <c r="N36" s="80" t="s">
        <v>413</v>
      </c>
      <c r="O36" s="80" t="s">
        <v>519</v>
      </c>
      <c r="P36" s="80" t="s">
        <v>520</v>
      </c>
      <c r="Q36" s="80"/>
      <c r="R36" s="79"/>
      <c r="S36" s="79">
        <v>2</v>
      </c>
      <c r="T36" s="80" t="s">
        <v>398</v>
      </c>
      <c r="U36" s="80" t="s">
        <v>358</v>
      </c>
      <c r="V36" s="80" t="s">
        <v>366</v>
      </c>
      <c r="W36" s="79"/>
      <c r="Y36" s="79">
        <v>2</v>
      </c>
      <c r="Z36" s="80"/>
      <c r="AA36" s="80"/>
      <c r="AB36" s="80"/>
      <c r="AC36" s="80"/>
    </row>
    <row r="37" spans="1:30">
      <c r="A37" s="79">
        <v>3</v>
      </c>
      <c r="B37" s="80" t="s">
        <v>367</v>
      </c>
      <c r="C37" s="80" t="s">
        <v>346</v>
      </c>
      <c r="D37" s="80" t="s">
        <v>348</v>
      </c>
      <c r="E37" s="80" t="s">
        <v>367</v>
      </c>
      <c r="F37" s="79"/>
      <c r="G37" s="79">
        <v>3</v>
      </c>
      <c r="H37" s="80" t="s">
        <v>379</v>
      </c>
      <c r="I37" s="80" t="s">
        <v>266</v>
      </c>
      <c r="J37" s="80" t="s">
        <v>389</v>
      </c>
      <c r="K37" s="80" t="s">
        <v>389</v>
      </c>
      <c r="L37" s="79"/>
      <c r="M37" s="79">
        <v>3</v>
      </c>
      <c r="N37" s="80" t="s">
        <v>381</v>
      </c>
      <c r="O37" s="80" t="s">
        <v>402</v>
      </c>
      <c r="P37" s="80" t="s">
        <v>383</v>
      </c>
      <c r="Q37" s="80"/>
      <c r="R37" s="79"/>
      <c r="S37" s="79">
        <v>3</v>
      </c>
      <c r="T37" s="80" t="s">
        <v>409</v>
      </c>
      <c r="U37" s="80" t="s">
        <v>362</v>
      </c>
      <c r="V37" s="80" t="s">
        <v>365</v>
      </c>
      <c r="W37" s="79" t="s">
        <v>494</v>
      </c>
      <c r="Y37" s="79">
        <v>3</v>
      </c>
      <c r="Z37" s="80"/>
      <c r="AA37" s="80"/>
      <c r="AB37" s="80"/>
      <c r="AC37" s="80"/>
    </row>
    <row r="38" spans="1:30">
      <c r="A38" s="79">
        <v>4</v>
      </c>
      <c r="B38" s="80" t="s">
        <v>339</v>
      </c>
      <c r="C38" s="80" t="s">
        <v>448</v>
      </c>
      <c r="D38" s="80" t="s">
        <v>394</v>
      </c>
      <c r="E38" s="80"/>
      <c r="F38" s="79"/>
      <c r="G38" s="79">
        <v>4</v>
      </c>
      <c r="H38" s="80" t="s">
        <v>380</v>
      </c>
      <c r="I38" s="80" t="s">
        <v>441</v>
      </c>
      <c r="J38" s="80" t="s">
        <v>388</v>
      </c>
      <c r="K38" s="80"/>
      <c r="L38" s="79"/>
      <c r="M38" s="79">
        <v>4</v>
      </c>
      <c r="N38" s="80" t="s">
        <v>378</v>
      </c>
      <c r="O38" s="80" t="s">
        <v>363</v>
      </c>
      <c r="P38" s="80" t="s">
        <v>444</v>
      </c>
      <c r="Q38" s="80" t="s">
        <v>363</v>
      </c>
      <c r="R38" s="79"/>
      <c r="S38" s="79">
        <v>4</v>
      </c>
      <c r="T38" s="80" t="s">
        <v>353</v>
      </c>
      <c r="U38" s="80" t="s">
        <v>359</v>
      </c>
      <c r="V38" s="80" t="s">
        <v>404</v>
      </c>
      <c r="W38" s="79" t="s">
        <v>404</v>
      </c>
      <c r="X38" s="49"/>
      <c r="Y38" s="79">
        <v>4</v>
      </c>
      <c r="Z38" s="80"/>
      <c r="AA38" s="80"/>
      <c r="AB38" s="80"/>
      <c r="AC38" s="80"/>
    </row>
    <row r="39" spans="1:30">
      <c r="A39" s="79">
        <v>5</v>
      </c>
      <c r="B39" s="80" t="s">
        <v>372</v>
      </c>
      <c r="C39" s="80" t="s">
        <v>390</v>
      </c>
      <c r="D39" s="80" t="s">
        <v>342</v>
      </c>
      <c r="E39" s="80"/>
      <c r="F39" s="79"/>
      <c r="G39" s="79">
        <v>5</v>
      </c>
      <c r="H39" s="80" t="s">
        <v>502</v>
      </c>
      <c r="I39" s="80" t="s">
        <v>382</v>
      </c>
      <c r="J39" s="80" t="s">
        <v>407</v>
      </c>
      <c r="K39" s="80"/>
      <c r="L39" s="79" t="s">
        <v>591</v>
      </c>
      <c r="M39" s="79">
        <v>5</v>
      </c>
      <c r="N39" s="80" t="s">
        <v>400</v>
      </c>
      <c r="O39" s="80" t="s">
        <v>530</v>
      </c>
      <c r="P39" s="80" t="s">
        <v>403</v>
      </c>
      <c r="Q39" s="80" t="s">
        <v>403</v>
      </c>
      <c r="R39" s="79"/>
      <c r="S39" s="79">
        <v>5</v>
      </c>
      <c r="T39" s="80" t="s">
        <v>399</v>
      </c>
      <c r="U39" s="80" t="s">
        <v>356</v>
      </c>
      <c r="V39" s="80" t="s">
        <v>416</v>
      </c>
      <c r="W39" s="79"/>
      <c r="Y39" s="79">
        <v>5</v>
      </c>
      <c r="Z39" s="80"/>
      <c r="AA39" s="80"/>
      <c r="AB39" s="80"/>
      <c r="AC39" s="80"/>
    </row>
    <row r="40" spans="1:30">
      <c r="A40" s="81" t="s">
        <v>335</v>
      </c>
      <c r="B40" s="80" t="s">
        <v>419</v>
      </c>
      <c r="C40" s="80" t="s">
        <v>387</v>
      </c>
      <c r="D40" s="80" t="s">
        <v>498</v>
      </c>
      <c r="E40" s="80"/>
      <c r="F40" s="79"/>
      <c r="G40" s="81" t="s">
        <v>335</v>
      </c>
      <c r="H40" s="80" t="s">
        <v>368</v>
      </c>
      <c r="I40" s="80" t="s">
        <v>443</v>
      </c>
      <c r="J40" s="80" t="s">
        <v>343</v>
      </c>
      <c r="K40" s="80"/>
      <c r="L40" s="79"/>
      <c r="M40" s="81" t="s">
        <v>335</v>
      </c>
      <c r="N40" s="80" t="s">
        <v>369</v>
      </c>
      <c r="O40" s="80" t="s">
        <v>370</v>
      </c>
      <c r="P40" s="80" t="s">
        <v>376</v>
      </c>
      <c r="Q40" s="80"/>
      <c r="R40" s="79"/>
      <c r="S40" s="81" t="s">
        <v>335</v>
      </c>
      <c r="T40" s="80" t="s">
        <v>414</v>
      </c>
      <c r="U40" s="80" t="s">
        <v>373</v>
      </c>
      <c r="V40" s="80" t="s">
        <v>331</v>
      </c>
      <c r="W40" s="79"/>
      <c r="X40" s="79" t="s">
        <v>587</v>
      </c>
      <c r="Y40" s="81" t="s">
        <v>335</v>
      </c>
      <c r="Z40" s="80"/>
      <c r="AA40" s="80"/>
      <c r="AB40" s="80"/>
      <c r="AC40" s="80"/>
      <c r="AD40" s="79"/>
    </row>
    <row r="42" spans="1:30">
      <c r="C42" s="80"/>
      <c r="I42" s="49"/>
      <c r="J42" s="49"/>
      <c r="K42" s="80"/>
      <c r="O42" s="49" t="s">
        <v>583</v>
      </c>
      <c r="T42" s="80"/>
    </row>
    <row r="43" spans="1:30">
      <c r="A43" s="79"/>
      <c r="B43" s="118"/>
      <c r="C43" s="118"/>
      <c r="D43" s="118"/>
      <c r="E43" s="80"/>
      <c r="F43" s="79"/>
      <c r="G43" s="79"/>
      <c r="H43" s="118"/>
      <c r="I43" s="118"/>
      <c r="J43" s="118"/>
      <c r="K43" s="80"/>
      <c r="L43" s="79"/>
      <c r="M43" s="79"/>
      <c r="N43" s="118"/>
      <c r="O43" s="118"/>
      <c r="P43" s="118"/>
      <c r="Q43" s="80"/>
      <c r="R43" s="79"/>
      <c r="S43" s="79"/>
      <c r="T43" s="118"/>
      <c r="U43" s="118"/>
      <c r="V43" s="118"/>
    </row>
    <row r="44" spans="1:30">
      <c r="A44" s="79"/>
      <c r="B44" s="80"/>
      <c r="C44" s="80"/>
      <c r="D44" s="80"/>
      <c r="E44" s="80"/>
      <c r="F44" s="79"/>
      <c r="G44" s="79"/>
      <c r="H44" s="80"/>
      <c r="I44" s="80"/>
      <c r="J44" s="80"/>
      <c r="K44" s="80"/>
      <c r="L44" s="79"/>
      <c r="M44" s="79"/>
      <c r="N44" s="80"/>
      <c r="O44" s="80"/>
      <c r="P44" s="80"/>
      <c r="Q44" s="80"/>
      <c r="R44" s="79"/>
      <c r="S44" s="79"/>
      <c r="T44" s="80"/>
      <c r="U44" s="80"/>
      <c r="V44" s="80"/>
    </row>
    <row r="45" spans="1:30">
      <c r="A45" s="79"/>
      <c r="B45" s="80"/>
      <c r="C45" s="80"/>
      <c r="D45" s="80"/>
      <c r="E45" s="80"/>
      <c r="F45" s="79"/>
      <c r="G45" s="79"/>
      <c r="H45" s="80"/>
      <c r="I45" s="80"/>
      <c r="J45" s="80"/>
      <c r="K45" s="80"/>
      <c r="L45" s="79"/>
      <c r="M45" s="79"/>
      <c r="N45" s="80"/>
      <c r="O45" s="80"/>
      <c r="P45" s="80"/>
      <c r="Q45" s="80"/>
      <c r="R45" s="79"/>
      <c r="S45" s="79"/>
      <c r="T45" s="80"/>
      <c r="U45" s="80"/>
      <c r="V45" s="80"/>
    </row>
    <row r="46" spans="1:30">
      <c r="A46" s="79"/>
      <c r="B46" s="80"/>
      <c r="C46" s="80"/>
      <c r="D46" s="80"/>
      <c r="E46" s="80"/>
      <c r="F46" s="79"/>
      <c r="G46" s="79"/>
      <c r="H46" s="80"/>
      <c r="I46" s="80"/>
      <c r="J46" s="80"/>
      <c r="K46" s="80"/>
      <c r="L46" s="79"/>
      <c r="M46" s="79"/>
      <c r="N46" s="80"/>
      <c r="O46" s="80"/>
      <c r="P46" s="80"/>
      <c r="Q46" s="80"/>
      <c r="R46" s="79"/>
      <c r="S46" s="79"/>
      <c r="T46" s="80"/>
      <c r="U46" s="80"/>
      <c r="V46" s="80"/>
    </row>
    <row r="47" spans="1:30">
      <c r="A47" s="79"/>
      <c r="B47" s="80"/>
      <c r="C47" s="80"/>
      <c r="D47" s="80"/>
      <c r="E47" s="80"/>
      <c r="F47" s="79"/>
      <c r="G47" s="79"/>
      <c r="H47" s="80"/>
      <c r="I47" s="80"/>
      <c r="J47" s="80"/>
      <c r="K47" s="80"/>
      <c r="L47" s="79"/>
      <c r="M47" s="79"/>
      <c r="N47" s="80"/>
      <c r="O47" s="80"/>
      <c r="P47" s="80"/>
      <c r="Q47" s="80"/>
      <c r="R47" s="79"/>
      <c r="S47" s="79"/>
      <c r="T47" s="80"/>
      <c r="U47" s="80"/>
      <c r="V47" s="80"/>
    </row>
    <row r="48" spans="1:30">
      <c r="A48" s="79"/>
      <c r="B48" s="80"/>
      <c r="C48" s="80"/>
      <c r="D48" s="80"/>
      <c r="E48" s="80"/>
      <c r="F48" s="79"/>
      <c r="G48" s="79"/>
      <c r="H48" s="80"/>
      <c r="I48" s="80"/>
      <c r="J48" s="80"/>
      <c r="K48" s="80"/>
      <c r="L48" s="79"/>
      <c r="M48" s="79"/>
      <c r="N48" s="80"/>
      <c r="O48" s="80"/>
      <c r="P48" s="80"/>
      <c r="Q48" s="80"/>
      <c r="R48" s="79"/>
      <c r="S48" s="79"/>
      <c r="T48" s="80"/>
      <c r="U48" s="80"/>
      <c r="V48" s="80"/>
    </row>
    <row r="49" spans="1:22">
      <c r="A49" s="79"/>
      <c r="B49" s="80"/>
      <c r="C49" s="80"/>
      <c r="D49" s="80"/>
      <c r="E49" s="80"/>
      <c r="F49" s="79"/>
      <c r="G49" s="79"/>
      <c r="H49" s="80"/>
      <c r="I49" s="80"/>
      <c r="J49" s="80"/>
      <c r="K49" s="80"/>
      <c r="L49" s="79"/>
      <c r="M49" s="79"/>
      <c r="N49" s="80"/>
      <c r="O49" s="80"/>
      <c r="P49" s="80"/>
      <c r="Q49" s="80"/>
      <c r="R49" s="79"/>
      <c r="S49" s="79"/>
      <c r="T49" s="80"/>
      <c r="U49" s="80"/>
      <c r="V49" s="80"/>
    </row>
    <row r="50" spans="1:22">
      <c r="A50" s="81"/>
      <c r="B50" s="80"/>
      <c r="C50" s="80"/>
      <c r="D50" s="80"/>
      <c r="E50" s="80"/>
      <c r="F50" s="79"/>
      <c r="G50" s="81"/>
      <c r="H50" s="80"/>
      <c r="I50" s="80"/>
      <c r="J50" s="80"/>
      <c r="K50" s="80"/>
      <c r="L50" s="79"/>
      <c r="M50" s="81"/>
      <c r="N50" s="80"/>
      <c r="O50" s="80"/>
      <c r="P50" s="80"/>
      <c r="Q50" s="80"/>
      <c r="R50" s="79"/>
      <c r="S50" s="81"/>
      <c r="T50" s="80"/>
      <c r="U50" s="80"/>
      <c r="V50" s="80"/>
    </row>
    <row r="53" spans="1:22">
      <c r="A53" s="79"/>
      <c r="B53" s="118"/>
      <c r="C53" s="118"/>
      <c r="D53" s="118"/>
      <c r="E53" s="80"/>
      <c r="F53" s="79"/>
      <c r="G53" s="79"/>
      <c r="H53" s="118"/>
      <c r="I53" s="118"/>
      <c r="J53" s="118"/>
      <c r="K53" s="80"/>
      <c r="L53" s="79"/>
      <c r="M53" s="79"/>
      <c r="N53" s="118"/>
      <c r="O53" s="118"/>
      <c r="P53" s="118"/>
      <c r="Q53" s="80"/>
      <c r="R53" s="79"/>
      <c r="S53" s="79"/>
      <c r="T53" s="118"/>
      <c r="U53" s="118"/>
      <c r="V53" s="118"/>
    </row>
    <row r="54" spans="1:22">
      <c r="A54" s="79"/>
      <c r="B54" s="80"/>
      <c r="C54" s="80"/>
      <c r="D54" s="80"/>
      <c r="E54" s="80"/>
      <c r="F54" s="79"/>
      <c r="G54" s="79"/>
      <c r="H54" s="80"/>
      <c r="I54" s="80"/>
      <c r="J54" s="80"/>
      <c r="K54" s="80"/>
      <c r="L54" s="79"/>
      <c r="M54" s="79"/>
      <c r="N54" s="80"/>
      <c r="O54" s="80"/>
      <c r="P54" s="80"/>
      <c r="Q54" s="80"/>
      <c r="R54" s="79"/>
      <c r="S54" s="79"/>
      <c r="T54" s="80"/>
      <c r="U54" s="80"/>
      <c r="V54" s="80"/>
    </row>
    <row r="55" spans="1:22">
      <c r="A55" s="79"/>
      <c r="B55" s="80"/>
      <c r="C55" s="80"/>
      <c r="D55" s="80"/>
      <c r="E55" s="80"/>
      <c r="F55" s="79"/>
      <c r="G55" s="79"/>
      <c r="H55" s="80"/>
      <c r="I55" s="80"/>
      <c r="J55" s="80"/>
      <c r="K55" s="80"/>
      <c r="L55" s="79"/>
      <c r="M55" s="79"/>
      <c r="N55" s="80"/>
      <c r="O55" s="80"/>
      <c r="P55" s="80"/>
      <c r="Q55" s="80"/>
      <c r="R55" s="79"/>
      <c r="S55" s="79"/>
      <c r="T55" s="80"/>
      <c r="U55" s="80"/>
      <c r="V55" s="80"/>
    </row>
    <row r="56" spans="1:22">
      <c r="A56" s="79"/>
      <c r="B56" s="80"/>
      <c r="C56" s="80"/>
      <c r="D56" s="80"/>
      <c r="E56" s="80"/>
      <c r="F56" s="79"/>
      <c r="G56" s="79"/>
      <c r="H56" s="80"/>
      <c r="I56" s="80"/>
      <c r="J56" s="80"/>
      <c r="K56" s="80"/>
      <c r="L56" s="79"/>
      <c r="M56" s="79"/>
      <c r="N56" s="80"/>
      <c r="O56" s="80"/>
      <c r="P56" s="80"/>
      <c r="Q56" s="80"/>
      <c r="R56" s="79"/>
      <c r="S56" s="79"/>
      <c r="T56" s="80"/>
      <c r="U56" s="80"/>
      <c r="V56" s="80"/>
    </row>
    <row r="57" spans="1:22">
      <c r="A57" s="79"/>
      <c r="B57" s="80"/>
      <c r="C57" s="80"/>
      <c r="D57" s="80"/>
      <c r="E57" s="80"/>
      <c r="F57" s="79"/>
      <c r="G57" s="79"/>
      <c r="H57" s="80"/>
      <c r="I57" s="80"/>
      <c r="J57" s="80"/>
      <c r="K57" s="80"/>
      <c r="L57" s="79"/>
      <c r="M57" s="79"/>
      <c r="N57" s="80"/>
      <c r="O57" s="80"/>
      <c r="P57" s="80"/>
      <c r="Q57" s="80"/>
      <c r="R57" s="79"/>
      <c r="S57" s="79"/>
      <c r="T57" s="80"/>
      <c r="U57" s="80"/>
      <c r="V57" s="80"/>
    </row>
    <row r="58" spans="1:22">
      <c r="A58" s="79"/>
      <c r="B58" s="80"/>
      <c r="C58" s="80"/>
      <c r="D58" s="80"/>
      <c r="E58" s="80"/>
      <c r="F58" s="79"/>
      <c r="G58" s="79"/>
      <c r="H58" s="80"/>
      <c r="I58" s="80"/>
      <c r="J58" s="80"/>
      <c r="K58" s="80"/>
      <c r="L58" s="79"/>
      <c r="M58" s="79"/>
      <c r="N58" s="80"/>
      <c r="O58" s="80"/>
      <c r="P58" s="80"/>
      <c r="Q58" s="80"/>
      <c r="R58" s="79"/>
      <c r="S58" s="79"/>
      <c r="T58" s="80"/>
      <c r="U58" s="80"/>
      <c r="V58" s="80"/>
    </row>
    <row r="59" spans="1:22">
      <c r="A59" s="79"/>
      <c r="B59" s="80"/>
      <c r="C59" s="80"/>
      <c r="D59" s="80"/>
      <c r="E59" s="80"/>
      <c r="F59" s="79"/>
      <c r="G59" s="79"/>
      <c r="H59" s="80"/>
      <c r="I59" s="80"/>
      <c r="J59" s="80"/>
      <c r="K59" s="80"/>
      <c r="L59" s="79"/>
      <c r="M59" s="79"/>
      <c r="N59" s="80"/>
      <c r="O59" s="80"/>
      <c r="P59" s="80"/>
      <c r="Q59" s="80"/>
      <c r="R59" s="79"/>
      <c r="S59" s="79"/>
      <c r="T59" s="80"/>
      <c r="U59" s="80"/>
      <c r="V59" s="80"/>
    </row>
    <row r="60" spans="1:22">
      <c r="A60" s="81"/>
      <c r="B60" s="80"/>
      <c r="C60" s="80"/>
      <c r="D60" s="80"/>
      <c r="E60" s="80"/>
      <c r="F60" s="79"/>
      <c r="G60" s="81"/>
      <c r="H60" s="80"/>
      <c r="I60" s="80"/>
      <c r="J60" s="80"/>
      <c r="K60" s="80"/>
      <c r="L60" s="79"/>
      <c r="M60" s="81"/>
      <c r="N60" s="80"/>
      <c r="O60" s="80"/>
      <c r="P60" s="80"/>
      <c r="Q60" s="80"/>
      <c r="R60" s="79"/>
      <c r="S60" s="81"/>
      <c r="T60" s="80"/>
      <c r="U60" s="80"/>
      <c r="V60" s="80"/>
    </row>
  </sheetData>
  <mergeCells count="29">
    <mergeCell ref="N23:P23"/>
    <mergeCell ref="T23:V23"/>
    <mergeCell ref="Z3:AB3"/>
    <mergeCell ref="A21:AD22"/>
    <mergeCell ref="B13:D13"/>
    <mergeCell ref="H13:J13"/>
    <mergeCell ref="N13:P13"/>
    <mergeCell ref="T13:V13"/>
    <mergeCell ref="Z23:AB23"/>
    <mergeCell ref="B23:D23"/>
    <mergeCell ref="H23:J23"/>
    <mergeCell ref="A1:AD2"/>
    <mergeCell ref="B3:D3"/>
    <mergeCell ref="H3:J3"/>
    <mergeCell ref="N3:P3"/>
    <mergeCell ref="T3:V3"/>
    <mergeCell ref="Z33:AB33"/>
    <mergeCell ref="B53:D53"/>
    <mergeCell ref="H53:J53"/>
    <mergeCell ref="N53:P53"/>
    <mergeCell ref="T53:V53"/>
    <mergeCell ref="B33:D33"/>
    <mergeCell ref="H33:J33"/>
    <mergeCell ref="N33:P33"/>
    <mergeCell ref="T33:V33"/>
    <mergeCell ref="B43:D43"/>
    <mergeCell ref="H43:J43"/>
    <mergeCell ref="N43:P43"/>
    <mergeCell ref="T43:V43"/>
  </mergeCells>
  <phoneticPr fontId="9"/>
  <pageMargins left="0.7" right="0.7" top="0.75" bottom="0.75" header="0.3" footer="0.3"/>
  <pageSetup paperSize="8" scale="7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0D28-8739-4251-BED0-E7E9DF2A2284}">
  <dimension ref="A3:X60"/>
  <sheetViews>
    <sheetView view="pageBreakPreview" zoomScale="60" zoomScaleNormal="84" workbookViewId="0">
      <selection activeCell="M30" sqref="M30:R30"/>
    </sheetView>
  </sheetViews>
  <sheetFormatPr defaultRowHeight="12.75"/>
  <cols>
    <col min="1" max="1" width="4.6640625" bestFit="1" customWidth="1"/>
    <col min="7" max="7" width="4.6640625" bestFit="1" customWidth="1"/>
    <col min="13" max="13" width="4.6640625" bestFit="1" customWidth="1"/>
    <col min="19" max="19" width="4.6640625" bestFit="1" customWidth="1"/>
  </cols>
  <sheetData>
    <row r="3" spans="1:24">
      <c r="A3" s="79"/>
      <c r="B3" s="118" t="s">
        <v>518</v>
      </c>
      <c r="C3" s="118"/>
      <c r="D3" s="118"/>
      <c r="E3" s="80"/>
      <c r="F3" s="79"/>
      <c r="G3" s="79"/>
      <c r="H3" s="118" t="s">
        <v>487</v>
      </c>
      <c r="I3" s="118"/>
      <c r="J3" s="118"/>
      <c r="K3" s="80"/>
      <c r="L3" s="79"/>
      <c r="M3" s="79"/>
      <c r="N3" s="118" t="s">
        <v>517</v>
      </c>
      <c r="O3" s="118"/>
      <c r="P3" s="118"/>
      <c r="Q3" s="80"/>
      <c r="R3" s="79"/>
      <c r="S3" s="79"/>
      <c r="T3" s="118" t="s">
        <v>576</v>
      </c>
      <c r="U3" s="118"/>
      <c r="V3" s="118"/>
      <c r="W3" s="79"/>
    </row>
    <row r="4" spans="1:24">
      <c r="A4" s="79"/>
      <c r="B4" s="80" t="s">
        <v>334</v>
      </c>
      <c r="C4" s="80" t="s">
        <v>267</v>
      </c>
      <c r="D4" s="80" t="s">
        <v>274</v>
      </c>
      <c r="E4" s="79" t="s">
        <v>436</v>
      </c>
      <c r="F4" s="79" t="s">
        <v>437</v>
      </c>
      <c r="G4" s="79"/>
      <c r="H4" s="80" t="s">
        <v>334</v>
      </c>
      <c r="I4" s="80" t="s">
        <v>267</v>
      </c>
      <c r="J4" s="80" t="s">
        <v>274</v>
      </c>
      <c r="K4" s="79" t="s">
        <v>436</v>
      </c>
      <c r="L4" s="79" t="s">
        <v>437</v>
      </c>
      <c r="M4" s="79"/>
      <c r="N4" s="80" t="s">
        <v>334</v>
      </c>
      <c r="O4" s="80" t="s">
        <v>267</v>
      </c>
      <c r="P4" s="80" t="s">
        <v>274</v>
      </c>
      <c r="Q4" s="79" t="s">
        <v>436</v>
      </c>
      <c r="R4" s="79" t="s">
        <v>437</v>
      </c>
      <c r="S4" s="79"/>
      <c r="T4" s="80" t="s">
        <v>334</v>
      </c>
      <c r="U4" s="80" t="s">
        <v>267</v>
      </c>
      <c r="V4" s="80" t="s">
        <v>274</v>
      </c>
      <c r="W4" s="79" t="s">
        <v>436</v>
      </c>
      <c r="X4" s="79" t="s">
        <v>437</v>
      </c>
    </row>
    <row r="5" spans="1:24">
      <c r="A5" s="79">
        <v>1</v>
      </c>
      <c r="B5" s="80" t="s">
        <v>336</v>
      </c>
      <c r="C5" s="80" t="s">
        <v>412</v>
      </c>
      <c r="D5" s="80" t="s">
        <v>343</v>
      </c>
      <c r="E5" s="80"/>
      <c r="F5" s="79"/>
      <c r="G5" s="79">
        <v>1</v>
      </c>
      <c r="H5" s="80" t="s">
        <v>399</v>
      </c>
      <c r="I5" s="80" t="s">
        <v>410</v>
      </c>
      <c r="J5" s="80" t="s">
        <v>404</v>
      </c>
      <c r="K5" s="80" t="s">
        <v>404</v>
      </c>
      <c r="L5" s="79"/>
      <c r="M5" s="79">
        <v>1</v>
      </c>
      <c r="N5" s="80" t="s">
        <v>377</v>
      </c>
      <c r="O5" s="80" t="s">
        <v>402</v>
      </c>
      <c r="P5" s="80" t="s">
        <v>416</v>
      </c>
      <c r="Q5" s="80"/>
      <c r="R5" s="79"/>
      <c r="S5" s="79">
        <v>1</v>
      </c>
      <c r="T5" s="80" t="s">
        <v>406</v>
      </c>
      <c r="U5" s="80" t="s">
        <v>583</v>
      </c>
      <c r="V5" s="80" t="s">
        <v>365</v>
      </c>
      <c r="W5" s="79"/>
      <c r="X5" s="79"/>
    </row>
    <row r="6" spans="1:24">
      <c r="A6" s="79">
        <v>2</v>
      </c>
      <c r="B6" s="80" t="s">
        <v>337</v>
      </c>
      <c r="C6" s="80" t="s">
        <v>561</v>
      </c>
      <c r="D6" s="80" t="s">
        <v>345</v>
      </c>
      <c r="E6" s="80"/>
      <c r="F6" s="79"/>
      <c r="G6" s="79">
        <v>2</v>
      </c>
      <c r="H6" s="80" t="s">
        <v>351</v>
      </c>
      <c r="I6" s="80" t="s">
        <v>358</v>
      </c>
      <c r="J6" s="80" t="s">
        <v>366</v>
      </c>
      <c r="K6" s="80" t="s">
        <v>351</v>
      </c>
      <c r="L6" s="79"/>
      <c r="M6" s="79">
        <v>2</v>
      </c>
      <c r="N6" s="80" t="s">
        <v>378</v>
      </c>
      <c r="O6" s="80" t="s">
        <v>384</v>
      </c>
      <c r="P6" s="80" t="s">
        <v>363</v>
      </c>
      <c r="Q6" s="80" t="s">
        <v>363</v>
      </c>
      <c r="R6" s="79"/>
      <c r="S6" s="79">
        <v>2</v>
      </c>
      <c r="T6" s="80" t="s">
        <v>398</v>
      </c>
      <c r="U6" s="80" t="s">
        <v>373</v>
      </c>
      <c r="V6" s="80" t="s">
        <v>403</v>
      </c>
      <c r="W6" s="79" t="s">
        <v>403</v>
      </c>
      <c r="X6" s="79"/>
    </row>
    <row r="7" spans="1:24">
      <c r="A7" s="79">
        <v>3</v>
      </c>
      <c r="B7" s="80" t="s">
        <v>338</v>
      </c>
      <c r="C7" s="80" t="s">
        <v>331</v>
      </c>
      <c r="D7" s="80" t="s">
        <v>348</v>
      </c>
      <c r="E7" s="80" t="s">
        <v>367</v>
      </c>
      <c r="F7" s="79" t="s">
        <v>605</v>
      </c>
      <c r="G7" s="79">
        <v>3</v>
      </c>
      <c r="H7" s="80" t="s">
        <v>413</v>
      </c>
      <c r="I7" s="80" t="s">
        <v>359</v>
      </c>
      <c r="J7" s="80" t="s">
        <v>357</v>
      </c>
      <c r="K7" s="80"/>
      <c r="L7" s="79"/>
      <c r="M7" s="79">
        <v>3</v>
      </c>
      <c r="N7" s="80" t="s">
        <v>379</v>
      </c>
      <c r="O7" s="80" t="s">
        <v>266</v>
      </c>
      <c r="P7" s="80" t="s">
        <v>396</v>
      </c>
      <c r="Q7" s="80"/>
      <c r="R7" s="79"/>
      <c r="S7" s="79">
        <v>3</v>
      </c>
      <c r="T7" s="80" t="s">
        <v>409</v>
      </c>
      <c r="U7" s="80" t="s">
        <v>443</v>
      </c>
      <c r="V7" s="80" t="s">
        <v>422</v>
      </c>
      <c r="W7" s="80"/>
      <c r="X7" s="79"/>
    </row>
    <row r="8" spans="1:24">
      <c r="A8" s="79">
        <v>4</v>
      </c>
      <c r="B8" s="80" t="s">
        <v>339</v>
      </c>
      <c r="C8" s="80" t="s">
        <v>346</v>
      </c>
      <c r="D8" s="80" t="s">
        <v>340</v>
      </c>
      <c r="E8" s="80" t="s">
        <v>340</v>
      </c>
      <c r="F8" s="79"/>
      <c r="G8" s="79">
        <v>4</v>
      </c>
      <c r="H8" s="80" t="s">
        <v>406</v>
      </c>
      <c r="I8" s="80" t="s">
        <v>261</v>
      </c>
      <c r="J8" s="80" t="s">
        <v>270</v>
      </c>
      <c r="K8" s="80"/>
      <c r="L8" s="79"/>
      <c r="M8" s="79">
        <v>4</v>
      </c>
      <c r="N8" s="80" t="s">
        <v>380</v>
      </c>
      <c r="O8" s="80" t="s">
        <v>385</v>
      </c>
      <c r="P8" s="80" t="s">
        <v>383</v>
      </c>
      <c r="Q8" s="80" t="s">
        <v>385</v>
      </c>
      <c r="R8" s="79"/>
      <c r="S8" s="79">
        <v>4</v>
      </c>
      <c r="T8" s="80" t="s">
        <v>353</v>
      </c>
      <c r="U8" s="80" t="s">
        <v>411</v>
      </c>
      <c r="V8" s="80" t="s">
        <v>394</v>
      </c>
      <c r="W8" s="79"/>
      <c r="X8" s="79"/>
    </row>
    <row r="9" spans="1:24">
      <c r="A9" s="79">
        <v>5</v>
      </c>
      <c r="B9" s="80" t="s">
        <v>368</v>
      </c>
      <c r="C9" s="80" t="s">
        <v>347</v>
      </c>
      <c r="D9" s="80" t="s">
        <v>342</v>
      </c>
      <c r="E9" s="80" t="s">
        <v>368</v>
      </c>
      <c r="F9" s="79"/>
      <c r="G9" s="79">
        <v>5</v>
      </c>
      <c r="H9" s="80" t="s">
        <v>401</v>
      </c>
      <c r="I9" s="80" t="s">
        <v>356</v>
      </c>
      <c r="J9" s="80" t="s">
        <v>422</v>
      </c>
      <c r="K9" s="80" t="s">
        <v>563</v>
      </c>
      <c r="L9" s="79" t="s">
        <v>374</v>
      </c>
      <c r="M9" s="79">
        <v>5</v>
      </c>
      <c r="N9" s="80" t="s">
        <v>502</v>
      </c>
      <c r="O9" s="80" t="s">
        <v>386</v>
      </c>
      <c r="P9" s="80" t="s">
        <v>389</v>
      </c>
      <c r="Q9" s="80" t="s">
        <v>389</v>
      </c>
      <c r="R9" s="79" t="s">
        <v>430</v>
      </c>
      <c r="S9" s="79">
        <v>5</v>
      </c>
      <c r="T9" s="80" t="s">
        <v>400</v>
      </c>
      <c r="U9" s="80" t="s">
        <v>356</v>
      </c>
      <c r="V9" s="80" t="s">
        <v>351</v>
      </c>
      <c r="W9" s="79" t="s">
        <v>351</v>
      </c>
      <c r="X9" s="79"/>
    </row>
    <row r="10" spans="1:24">
      <c r="A10" s="81" t="s">
        <v>335</v>
      </c>
      <c r="B10" s="80" t="s">
        <v>400</v>
      </c>
      <c r="C10" s="80" t="s">
        <v>387</v>
      </c>
      <c r="D10" s="80" t="s">
        <v>376</v>
      </c>
      <c r="E10" s="80"/>
      <c r="F10" s="79"/>
      <c r="G10" s="81" t="s">
        <v>335</v>
      </c>
      <c r="H10" s="80" t="s">
        <v>381</v>
      </c>
      <c r="I10" s="80" t="s">
        <v>360</v>
      </c>
      <c r="J10" s="80" t="s">
        <v>373</v>
      </c>
      <c r="K10" s="80"/>
      <c r="L10" s="79"/>
      <c r="M10" s="81" t="s">
        <v>335</v>
      </c>
      <c r="N10" s="80" t="s">
        <v>369</v>
      </c>
      <c r="O10" s="80" t="s">
        <v>370</v>
      </c>
      <c r="P10" s="80" t="s">
        <v>498</v>
      </c>
      <c r="Q10" s="80"/>
      <c r="R10" s="79"/>
      <c r="S10" s="81" t="s">
        <v>335</v>
      </c>
      <c r="T10" s="80" t="s">
        <v>369</v>
      </c>
      <c r="U10" s="80" t="s">
        <v>370</v>
      </c>
      <c r="V10" s="80" t="s">
        <v>376</v>
      </c>
      <c r="W10" s="79"/>
      <c r="X10" s="79"/>
    </row>
    <row r="11" spans="1:24">
      <c r="A11" s="79"/>
      <c r="B11" s="80"/>
      <c r="C11" s="80"/>
      <c r="D11" s="80"/>
      <c r="E11" s="80"/>
      <c r="F11" s="79"/>
      <c r="G11" s="79"/>
      <c r="H11" s="79"/>
      <c r="I11" s="80"/>
      <c r="J11" s="79"/>
      <c r="K11" s="79"/>
      <c r="L11" s="79"/>
      <c r="M11" s="79"/>
      <c r="O11" s="80"/>
      <c r="P11" s="80"/>
      <c r="Q11" s="79"/>
      <c r="R11" s="79"/>
      <c r="S11" s="79"/>
      <c r="T11" s="79"/>
      <c r="U11" s="80"/>
      <c r="V11" s="80"/>
      <c r="W11" s="79"/>
      <c r="X11" s="79"/>
    </row>
    <row r="12" spans="1:24">
      <c r="A12" s="79"/>
      <c r="B12" s="80"/>
      <c r="C12" s="80"/>
      <c r="D12" s="80"/>
      <c r="E12" s="80"/>
      <c r="F12" s="79"/>
      <c r="G12" s="79"/>
      <c r="H12" s="79"/>
      <c r="I12" s="80"/>
      <c r="J12" s="80"/>
      <c r="K12" s="79"/>
      <c r="L12" s="79"/>
      <c r="M12" s="79"/>
      <c r="N12" s="79"/>
      <c r="O12" s="79"/>
      <c r="P12" s="80"/>
      <c r="Q12" s="79"/>
      <c r="R12" s="79"/>
      <c r="S12" s="79"/>
      <c r="T12" s="79"/>
      <c r="U12" s="79"/>
      <c r="V12" s="79"/>
      <c r="W12" s="79"/>
      <c r="X12" s="79"/>
    </row>
    <row r="13" spans="1:24">
      <c r="A13" s="79"/>
      <c r="B13" s="118" t="s">
        <v>603</v>
      </c>
      <c r="C13" s="118"/>
      <c r="D13" s="118"/>
      <c r="E13" s="80"/>
      <c r="F13" s="79"/>
      <c r="G13" s="79"/>
      <c r="H13" s="118" t="s">
        <v>604</v>
      </c>
      <c r="I13" s="118"/>
      <c r="J13" s="118"/>
      <c r="K13" s="80"/>
      <c r="L13" s="79"/>
      <c r="M13" s="79"/>
      <c r="N13" s="118" t="s">
        <v>602</v>
      </c>
      <c r="O13" s="118"/>
      <c r="P13" s="118"/>
      <c r="Q13" s="80"/>
      <c r="R13" s="79"/>
      <c r="S13" s="79"/>
      <c r="T13" s="118" t="s">
        <v>527</v>
      </c>
      <c r="U13" s="118"/>
      <c r="V13" s="118"/>
      <c r="W13" s="79"/>
      <c r="X13" s="79"/>
    </row>
    <row r="14" spans="1:24">
      <c r="A14" s="79"/>
      <c r="B14" s="80" t="s">
        <v>334</v>
      </c>
      <c r="C14" s="80" t="s">
        <v>267</v>
      </c>
      <c r="D14" s="80" t="s">
        <v>274</v>
      </c>
      <c r="E14" s="80"/>
      <c r="F14" s="79"/>
      <c r="G14" s="79"/>
      <c r="H14" s="80" t="s">
        <v>334</v>
      </c>
      <c r="I14" s="80" t="s">
        <v>267</v>
      </c>
      <c r="J14" s="80" t="s">
        <v>274</v>
      </c>
      <c r="K14" s="80"/>
      <c r="L14" s="79"/>
      <c r="M14" s="79"/>
      <c r="N14" s="80" t="s">
        <v>334</v>
      </c>
      <c r="O14" s="80" t="s">
        <v>267</v>
      </c>
      <c r="P14" s="80" t="s">
        <v>274</v>
      </c>
      <c r="Q14" s="80"/>
      <c r="R14" s="79"/>
      <c r="S14" s="79"/>
      <c r="T14" s="80" t="s">
        <v>334</v>
      </c>
      <c r="U14" s="80" t="s">
        <v>267</v>
      </c>
      <c r="V14" s="80" t="s">
        <v>274</v>
      </c>
      <c r="W14" s="79"/>
      <c r="X14" s="79"/>
    </row>
    <row r="15" spans="1:24">
      <c r="A15" s="79">
        <v>1</v>
      </c>
      <c r="B15" s="80" t="s">
        <v>336</v>
      </c>
      <c r="C15" s="80" t="s">
        <v>363</v>
      </c>
      <c r="D15" s="80" t="s">
        <v>458</v>
      </c>
      <c r="E15" s="80" t="s">
        <v>363</v>
      </c>
      <c r="F15" s="79"/>
      <c r="G15" s="79">
        <v>1</v>
      </c>
      <c r="H15" s="80" t="s">
        <v>350</v>
      </c>
      <c r="I15" s="80" t="s">
        <v>402</v>
      </c>
      <c r="J15" s="80" t="s">
        <v>444</v>
      </c>
      <c r="K15" s="80"/>
      <c r="L15" s="79"/>
      <c r="M15" s="79">
        <v>1</v>
      </c>
      <c r="N15" s="80" t="s">
        <v>381</v>
      </c>
      <c r="O15" s="80" t="s">
        <v>390</v>
      </c>
      <c r="P15" s="80" t="s">
        <v>388</v>
      </c>
      <c r="Q15" s="80"/>
      <c r="R15" s="79"/>
      <c r="S15" s="79">
        <v>1</v>
      </c>
      <c r="T15" s="80" t="s">
        <v>423</v>
      </c>
      <c r="U15" s="80" t="s">
        <v>390</v>
      </c>
      <c r="V15" s="80" t="s">
        <v>416</v>
      </c>
      <c r="W15" s="79"/>
      <c r="X15" s="79"/>
    </row>
    <row r="16" spans="1:24">
      <c r="A16" s="79">
        <v>2</v>
      </c>
      <c r="B16" s="80" t="s">
        <v>372</v>
      </c>
      <c r="C16" s="80" t="s">
        <v>269</v>
      </c>
      <c r="D16" s="80" t="s">
        <v>394</v>
      </c>
      <c r="E16" s="80"/>
      <c r="F16" s="79"/>
      <c r="G16" s="79">
        <v>2</v>
      </c>
      <c r="H16" s="80" t="s">
        <v>419</v>
      </c>
      <c r="I16" s="80" t="s">
        <v>358</v>
      </c>
      <c r="J16" s="80" t="s">
        <v>366</v>
      </c>
      <c r="K16" s="80" t="s">
        <v>351</v>
      </c>
      <c r="L16" s="79"/>
      <c r="M16" s="79">
        <v>2</v>
      </c>
      <c r="N16" s="80" t="s">
        <v>380</v>
      </c>
      <c r="O16" s="80" t="s">
        <v>384</v>
      </c>
      <c r="P16" s="80" t="s">
        <v>415</v>
      </c>
      <c r="Q16" s="80"/>
      <c r="R16" s="79"/>
      <c r="S16" s="79">
        <v>2</v>
      </c>
      <c r="T16" s="80" t="s">
        <v>413</v>
      </c>
      <c r="U16" s="80" t="s">
        <v>519</v>
      </c>
      <c r="V16" s="80" t="s">
        <v>394</v>
      </c>
      <c r="W16" s="79"/>
      <c r="X16" s="79"/>
    </row>
    <row r="17" spans="1:24">
      <c r="A17" s="79">
        <v>3</v>
      </c>
      <c r="B17" s="80" t="s">
        <v>367</v>
      </c>
      <c r="C17" s="80" t="s">
        <v>259</v>
      </c>
      <c r="D17" s="80" t="s">
        <v>348</v>
      </c>
      <c r="E17" s="80" t="s">
        <v>367</v>
      </c>
      <c r="F17" s="79"/>
      <c r="G17" s="79">
        <v>3</v>
      </c>
      <c r="H17" s="80" t="s">
        <v>400</v>
      </c>
      <c r="I17" s="80" t="s">
        <v>362</v>
      </c>
      <c r="J17" s="80" t="s">
        <v>365</v>
      </c>
      <c r="K17" s="80" t="s">
        <v>494</v>
      </c>
      <c r="L17" s="79"/>
      <c r="M17" s="79">
        <v>3</v>
      </c>
      <c r="N17" s="80" t="s">
        <v>413</v>
      </c>
      <c r="O17" s="80" t="s">
        <v>601</v>
      </c>
      <c r="P17" s="80" t="s">
        <v>416</v>
      </c>
      <c r="Q17" s="80"/>
      <c r="R17" s="79"/>
      <c r="S17" s="79">
        <v>3</v>
      </c>
      <c r="T17" s="80" t="s">
        <v>378</v>
      </c>
      <c r="U17" s="80" t="s">
        <v>446</v>
      </c>
      <c r="V17" s="80" t="s">
        <v>415</v>
      </c>
      <c r="W17" s="79"/>
      <c r="X17" s="79"/>
    </row>
    <row r="18" spans="1:24">
      <c r="A18" s="79">
        <v>4</v>
      </c>
      <c r="B18" s="80" t="s">
        <v>337</v>
      </c>
      <c r="C18" s="80" t="s">
        <v>346</v>
      </c>
      <c r="D18" s="80" t="s">
        <v>340</v>
      </c>
      <c r="E18" s="80" t="s">
        <v>340</v>
      </c>
      <c r="F18" s="79"/>
      <c r="G18" s="79">
        <v>4</v>
      </c>
      <c r="H18" s="80" t="s">
        <v>353</v>
      </c>
      <c r="I18" s="80" t="s">
        <v>359</v>
      </c>
      <c r="J18" s="80" t="s">
        <v>404</v>
      </c>
      <c r="K18" s="80" t="s">
        <v>404</v>
      </c>
      <c r="L18" s="79"/>
      <c r="M18" s="79">
        <v>4</v>
      </c>
      <c r="N18" s="80" t="s">
        <v>481</v>
      </c>
      <c r="O18" s="80" t="s">
        <v>385</v>
      </c>
      <c r="P18" s="80" t="s">
        <v>383</v>
      </c>
      <c r="Q18" s="80" t="s">
        <v>385</v>
      </c>
      <c r="R18" s="79"/>
      <c r="S18" s="79">
        <v>4</v>
      </c>
      <c r="T18" s="80" t="s">
        <v>379</v>
      </c>
      <c r="U18" s="80" t="s">
        <v>441</v>
      </c>
      <c r="V18" s="80" t="s">
        <v>407</v>
      </c>
      <c r="W18" s="79"/>
      <c r="X18" s="79"/>
    </row>
    <row r="19" spans="1:24">
      <c r="A19" s="79">
        <v>5</v>
      </c>
      <c r="B19" s="80" t="s">
        <v>368</v>
      </c>
      <c r="C19" s="80" t="s">
        <v>412</v>
      </c>
      <c r="D19" s="80" t="s">
        <v>417</v>
      </c>
      <c r="E19" s="80" t="s">
        <v>368</v>
      </c>
      <c r="F19" s="79"/>
      <c r="G19" s="79">
        <v>5</v>
      </c>
      <c r="H19" s="80" t="s">
        <v>406</v>
      </c>
      <c r="I19" s="80" t="s">
        <v>356</v>
      </c>
      <c r="J19" s="80" t="s">
        <v>405</v>
      </c>
      <c r="K19" s="80"/>
      <c r="L19" s="79"/>
      <c r="M19" s="79">
        <v>5</v>
      </c>
      <c r="N19" s="80" t="s">
        <v>427</v>
      </c>
      <c r="O19" s="80" t="s">
        <v>441</v>
      </c>
      <c r="P19" s="80" t="s">
        <v>389</v>
      </c>
      <c r="Q19" s="80" t="s">
        <v>389</v>
      </c>
      <c r="R19" s="80" t="s">
        <v>608</v>
      </c>
      <c r="S19" s="79">
        <v>5</v>
      </c>
      <c r="T19" s="80" t="s">
        <v>380</v>
      </c>
      <c r="U19" s="80" t="s">
        <v>424</v>
      </c>
      <c r="V19" s="80" t="s">
        <v>395</v>
      </c>
      <c r="W19" s="79"/>
      <c r="X19" s="79"/>
    </row>
    <row r="20" spans="1:24">
      <c r="A20" s="81" t="s">
        <v>335</v>
      </c>
      <c r="B20" s="80" t="s">
        <v>373</v>
      </c>
      <c r="C20" s="80" t="s">
        <v>387</v>
      </c>
      <c r="D20" s="80" t="s">
        <v>498</v>
      </c>
      <c r="E20" s="80"/>
      <c r="F20" s="79"/>
      <c r="G20" s="81" t="s">
        <v>335</v>
      </c>
      <c r="H20" s="80" t="s">
        <v>423</v>
      </c>
      <c r="I20" s="80" t="s">
        <v>418</v>
      </c>
      <c r="J20" s="80" t="s">
        <v>357</v>
      </c>
      <c r="K20" s="80"/>
      <c r="L20" s="79"/>
      <c r="M20" s="81" t="s">
        <v>335</v>
      </c>
      <c r="N20" s="80" t="s">
        <v>378</v>
      </c>
      <c r="O20" s="80" t="s">
        <v>454</v>
      </c>
      <c r="P20" s="80" t="s">
        <v>343</v>
      </c>
      <c r="Q20" s="80"/>
      <c r="R20" s="79"/>
      <c r="S20" s="81" t="s">
        <v>335</v>
      </c>
      <c r="T20" s="80" t="s">
        <v>367</v>
      </c>
      <c r="U20" s="80" t="s">
        <v>362</v>
      </c>
      <c r="V20" s="80" t="s">
        <v>368</v>
      </c>
      <c r="W20" s="79"/>
      <c r="X20" s="79"/>
    </row>
    <row r="21" spans="1:24">
      <c r="N21" s="80"/>
      <c r="O21" s="80"/>
      <c r="P21" s="80"/>
    </row>
    <row r="22" spans="1:24">
      <c r="N22" s="80"/>
      <c r="O22" s="80"/>
      <c r="P22" s="49"/>
      <c r="U22" s="49"/>
    </row>
    <row r="23" spans="1:24">
      <c r="A23" s="79"/>
      <c r="B23" s="118"/>
      <c r="C23" s="118"/>
      <c r="D23" s="118"/>
      <c r="E23" s="79"/>
      <c r="F23" s="79"/>
      <c r="G23" s="79"/>
      <c r="H23" s="118"/>
      <c r="I23" s="118"/>
      <c r="J23" s="118"/>
      <c r="K23" s="79"/>
      <c r="M23" s="79"/>
      <c r="N23" s="118"/>
      <c r="O23" s="118"/>
      <c r="P23" s="118"/>
      <c r="Q23" s="80"/>
      <c r="R23" s="79"/>
      <c r="S23" s="79"/>
      <c r="T23" s="118" t="s">
        <v>594</v>
      </c>
      <c r="U23" s="118"/>
      <c r="V23" s="118"/>
    </row>
    <row r="24" spans="1:24">
      <c r="A24" s="79"/>
      <c r="B24" s="80"/>
      <c r="C24" s="80"/>
      <c r="D24" s="80"/>
      <c r="E24" s="79"/>
      <c r="F24" s="79"/>
      <c r="G24" s="79"/>
      <c r="H24" s="80"/>
      <c r="I24" s="80"/>
      <c r="J24" s="80"/>
      <c r="K24" s="79"/>
      <c r="L24" s="79"/>
      <c r="M24" s="79"/>
      <c r="N24" s="80"/>
      <c r="O24" s="80"/>
      <c r="P24" s="80"/>
      <c r="Q24" s="80"/>
      <c r="R24" s="79"/>
      <c r="S24" s="79"/>
      <c r="T24" s="80" t="s">
        <v>558</v>
      </c>
      <c r="U24" s="80" t="s">
        <v>562</v>
      </c>
      <c r="V24" s="80" t="s">
        <v>280</v>
      </c>
      <c r="W24" s="79" t="s">
        <v>597</v>
      </c>
    </row>
    <row r="25" spans="1:24">
      <c r="A25" s="79"/>
      <c r="B25" s="80"/>
      <c r="C25" s="80"/>
      <c r="D25" s="80"/>
      <c r="E25" s="79"/>
      <c r="F25" s="79"/>
      <c r="G25" s="79"/>
      <c r="H25" s="80"/>
      <c r="I25" s="80"/>
      <c r="J25" s="80"/>
      <c r="K25" s="79"/>
      <c r="L25" s="79"/>
      <c r="M25" s="119"/>
      <c r="N25" s="119"/>
      <c r="O25" s="119"/>
      <c r="P25" s="119"/>
      <c r="Q25" s="119"/>
      <c r="R25" s="119"/>
      <c r="S25" s="79"/>
      <c r="T25" s="80" t="s">
        <v>559</v>
      </c>
      <c r="U25" s="80" t="s">
        <v>562</v>
      </c>
      <c r="V25" s="80" t="s">
        <v>282</v>
      </c>
      <c r="W25" s="79" t="s">
        <v>600</v>
      </c>
      <c r="X25" s="49"/>
    </row>
    <row r="26" spans="1:24">
      <c r="A26" s="79"/>
      <c r="B26" s="80"/>
      <c r="C26" s="80"/>
      <c r="D26" s="80"/>
      <c r="E26" s="79"/>
      <c r="F26" s="79"/>
      <c r="G26" s="79"/>
      <c r="H26" s="80"/>
      <c r="I26" s="80"/>
      <c r="J26" s="80"/>
      <c r="K26" s="79"/>
      <c r="L26" s="79"/>
      <c r="M26" s="118"/>
      <c r="N26" s="118"/>
      <c r="O26" s="118"/>
      <c r="P26" s="118"/>
      <c r="Q26" s="118"/>
      <c r="R26" s="118"/>
      <c r="S26" s="79"/>
      <c r="T26" s="80" t="s">
        <v>593</v>
      </c>
      <c r="U26" s="80" t="s">
        <v>562</v>
      </c>
      <c r="V26" s="79" t="s">
        <v>292</v>
      </c>
      <c r="W26" s="79" t="s">
        <v>599</v>
      </c>
    </row>
    <row r="27" spans="1:24">
      <c r="A27" s="79"/>
      <c r="B27" s="80"/>
      <c r="C27" s="80"/>
      <c r="D27" s="80"/>
      <c r="E27" s="79"/>
      <c r="F27" s="79"/>
      <c r="G27" s="79"/>
      <c r="H27" s="80"/>
      <c r="I27" s="80"/>
      <c r="J27" s="80"/>
      <c r="K27" s="79"/>
      <c r="L27" s="79"/>
      <c r="M27" s="118"/>
      <c r="N27" s="118"/>
      <c r="O27" s="118"/>
      <c r="P27" s="118"/>
      <c r="Q27" s="118"/>
      <c r="R27" s="118"/>
      <c r="S27" s="79"/>
      <c r="T27" s="118" t="s">
        <v>203</v>
      </c>
      <c r="U27" s="118"/>
      <c r="V27" s="118"/>
    </row>
    <row r="28" spans="1:24">
      <c r="A28" s="79"/>
      <c r="B28" s="80"/>
      <c r="C28" s="80"/>
      <c r="D28" s="80"/>
      <c r="E28" s="79"/>
      <c r="F28" s="79"/>
      <c r="G28" s="79"/>
      <c r="H28" s="80"/>
      <c r="I28" s="80"/>
      <c r="J28" s="80"/>
      <c r="K28" s="79"/>
      <c r="L28" s="79"/>
      <c r="M28" s="118"/>
      <c r="N28" s="118"/>
      <c r="O28" s="118"/>
      <c r="P28" s="118"/>
      <c r="Q28" s="118"/>
      <c r="R28" s="118"/>
      <c r="S28" s="79"/>
      <c r="T28" s="80" t="s">
        <v>595</v>
      </c>
      <c r="U28" s="80" t="s">
        <v>596</v>
      </c>
      <c r="V28" s="80" t="s">
        <v>558</v>
      </c>
      <c r="W28" s="80" t="s">
        <v>559</v>
      </c>
      <c r="X28" s="80" t="s">
        <v>598</v>
      </c>
    </row>
    <row r="29" spans="1:24">
      <c r="A29" s="79"/>
      <c r="B29" s="80"/>
      <c r="C29" s="80"/>
      <c r="D29" s="80"/>
      <c r="E29" s="79"/>
      <c r="F29" s="79"/>
      <c r="G29" s="79"/>
      <c r="H29" s="80"/>
      <c r="I29" s="80"/>
      <c r="J29" s="80"/>
      <c r="K29" s="79"/>
      <c r="L29" s="79"/>
      <c r="M29" s="118"/>
      <c r="N29" s="118"/>
      <c r="O29" s="118"/>
      <c r="P29" s="118"/>
      <c r="Q29" s="118"/>
      <c r="R29" s="118"/>
      <c r="S29" s="79"/>
      <c r="T29" s="80"/>
      <c r="U29" s="80"/>
      <c r="V29" s="80"/>
    </row>
    <row r="30" spans="1:24">
      <c r="A30" s="81"/>
      <c r="B30" s="80"/>
      <c r="C30" s="80"/>
      <c r="D30" s="80"/>
      <c r="E30" s="79"/>
      <c r="F30" s="79"/>
      <c r="G30" s="81"/>
      <c r="H30" s="80"/>
      <c r="I30" s="80"/>
      <c r="J30" s="80"/>
      <c r="K30" s="79"/>
      <c r="L30" s="79"/>
      <c r="M30" s="118"/>
      <c r="N30" s="118"/>
      <c r="O30" s="118"/>
      <c r="P30" s="118"/>
      <c r="Q30" s="118"/>
      <c r="R30" s="118"/>
      <c r="S30" s="81"/>
      <c r="T30" s="80"/>
      <c r="U30" s="80"/>
      <c r="V30" s="80"/>
    </row>
    <row r="33" spans="1:22">
      <c r="A33" s="79"/>
      <c r="B33" s="118"/>
      <c r="C33" s="118"/>
      <c r="D33" s="118"/>
      <c r="E33" s="80"/>
      <c r="F33" s="79"/>
      <c r="G33" s="79"/>
      <c r="H33" s="118"/>
      <c r="I33" s="118"/>
      <c r="J33" s="118"/>
      <c r="K33" s="80"/>
      <c r="L33" s="79"/>
      <c r="M33" s="79"/>
      <c r="N33" s="118"/>
      <c r="O33" s="118"/>
      <c r="P33" s="118"/>
      <c r="Q33" s="80"/>
      <c r="R33" s="79"/>
      <c r="S33" s="79"/>
      <c r="T33" s="118"/>
      <c r="U33" s="118"/>
      <c r="V33" s="118"/>
    </row>
    <row r="34" spans="1:22">
      <c r="A34" s="79"/>
      <c r="B34" s="80"/>
      <c r="C34" s="80"/>
      <c r="D34" s="80"/>
      <c r="E34" s="80"/>
      <c r="F34" s="79"/>
      <c r="G34" s="79"/>
      <c r="H34" s="80"/>
      <c r="I34" s="80"/>
      <c r="J34" s="80"/>
      <c r="K34" s="80"/>
      <c r="L34" s="79"/>
      <c r="M34" s="79"/>
      <c r="N34" s="80"/>
      <c r="O34" s="80"/>
      <c r="P34" s="80"/>
      <c r="Q34" s="80"/>
      <c r="R34" s="79"/>
      <c r="S34" s="79"/>
      <c r="T34" s="80"/>
      <c r="U34" s="80"/>
      <c r="V34" s="80"/>
    </row>
    <row r="35" spans="1:22">
      <c r="A35" s="79"/>
      <c r="B35" s="80"/>
      <c r="C35" s="80"/>
      <c r="D35" s="80"/>
      <c r="E35" s="80"/>
      <c r="F35" s="79"/>
      <c r="G35" s="79"/>
      <c r="H35" s="80"/>
      <c r="I35" s="80"/>
      <c r="J35" s="80"/>
      <c r="K35" s="80"/>
      <c r="L35" s="79"/>
      <c r="M35" s="79"/>
      <c r="N35" s="80"/>
      <c r="O35" s="80"/>
      <c r="P35" s="80"/>
      <c r="Q35" s="80"/>
      <c r="R35" s="79"/>
      <c r="S35" s="79"/>
      <c r="T35" s="80"/>
      <c r="U35" s="80"/>
      <c r="V35" s="80"/>
    </row>
    <row r="36" spans="1:22">
      <c r="A36" s="79"/>
      <c r="B36" s="80"/>
      <c r="C36" s="80"/>
      <c r="D36" s="80"/>
      <c r="E36" s="80"/>
      <c r="F36" s="79"/>
      <c r="G36" s="79"/>
      <c r="H36" s="80"/>
      <c r="I36" s="80"/>
      <c r="J36" s="80"/>
      <c r="K36" s="80"/>
      <c r="L36" s="79"/>
      <c r="M36" s="79"/>
      <c r="N36" s="80"/>
      <c r="O36" s="80"/>
      <c r="P36" s="80"/>
      <c r="Q36" s="80"/>
      <c r="R36" s="79"/>
      <c r="S36" s="79"/>
      <c r="T36" s="80"/>
      <c r="U36" s="80"/>
      <c r="V36" s="80"/>
    </row>
    <row r="37" spans="1:22">
      <c r="A37" s="79"/>
      <c r="B37" s="80"/>
      <c r="C37" s="80"/>
      <c r="D37" s="80"/>
      <c r="E37" s="80"/>
      <c r="F37" s="79"/>
      <c r="G37" s="79"/>
      <c r="H37" s="80"/>
      <c r="I37" s="80"/>
      <c r="J37" s="80"/>
      <c r="K37" s="80"/>
      <c r="L37" s="79"/>
      <c r="M37" s="79"/>
      <c r="N37" s="80"/>
      <c r="O37" s="80"/>
      <c r="P37" s="80"/>
      <c r="Q37" s="80"/>
      <c r="R37" s="79"/>
      <c r="S37" s="79"/>
      <c r="T37" s="80"/>
      <c r="U37" s="80"/>
      <c r="V37" s="80"/>
    </row>
    <row r="38" spans="1:22">
      <c r="A38" s="79"/>
      <c r="B38" s="80"/>
      <c r="C38" s="80"/>
      <c r="D38" s="80"/>
      <c r="E38" s="80"/>
      <c r="F38" s="79"/>
      <c r="G38" s="79"/>
      <c r="H38" s="80"/>
      <c r="I38" s="80"/>
      <c r="J38" s="80"/>
      <c r="K38" s="80"/>
      <c r="L38" s="79"/>
      <c r="M38" s="79"/>
      <c r="N38" s="80"/>
      <c r="O38" s="80"/>
      <c r="P38" s="80"/>
      <c r="Q38" s="80"/>
      <c r="R38" s="79"/>
      <c r="S38" s="79"/>
      <c r="T38" s="80"/>
      <c r="U38" s="80"/>
      <c r="V38" s="80"/>
    </row>
    <row r="39" spans="1:22">
      <c r="A39" s="79"/>
      <c r="B39" s="80"/>
      <c r="C39" s="80"/>
      <c r="D39" s="80"/>
      <c r="E39" s="80"/>
      <c r="F39" s="79"/>
      <c r="G39" s="79"/>
      <c r="H39" s="80"/>
      <c r="I39" s="80"/>
      <c r="J39" s="80"/>
      <c r="K39" s="80"/>
      <c r="L39" s="79"/>
      <c r="M39" s="79"/>
      <c r="N39" s="80"/>
      <c r="O39" s="80"/>
      <c r="P39" s="80"/>
      <c r="Q39" s="80"/>
      <c r="R39" s="79"/>
      <c r="S39" s="79"/>
      <c r="T39" s="80"/>
      <c r="U39" s="80"/>
      <c r="V39" s="80"/>
    </row>
    <row r="40" spans="1:22">
      <c r="A40" s="81"/>
      <c r="B40" s="80"/>
      <c r="C40" s="80"/>
      <c r="D40" s="80"/>
      <c r="E40" s="80"/>
      <c r="F40" s="79"/>
      <c r="G40" s="81"/>
      <c r="H40" s="80"/>
      <c r="I40" s="80"/>
      <c r="J40" s="80"/>
      <c r="K40" s="80"/>
      <c r="L40" s="79"/>
      <c r="M40" s="81"/>
      <c r="N40" s="80"/>
      <c r="O40" s="80"/>
      <c r="P40" s="80"/>
      <c r="Q40" s="80"/>
      <c r="R40" s="79"/>
      <c r="S40" s="81"/>
      <c r="T40" s="80"/>
      <c r="U40" s="80"/>
      <c r="V40" s="80"/>
    </row>
    <row r="43" spans="1:22">
      <c r="A43" s="79"/>
      <c r="B43" s="118"/>
      <c r="C43" s="118"/>
      <c r="D43" s="118"/>
      <c r="E43" s="80"/>
      <c r="F43" s="79"/>
      <c r="G43" s="79"/>
      <c r="H43" s="118"/>
      <c r="I43" s="118"/>
      <c r="J43" s="118"/>
      <c r="K43" s="80"/>
      <c r="L43" s="79"/>
      <c r="M43" s="79"/>
      <c r="N43" s="118"/>
      <c r="O43" s="118"/>
      <c r="P43" s="118"/>
      <c r="Q43" s="80"/>
      <c r="R43" s="79"/>
      <c r="S43" s="79"/>
      <c r="T43" s="118"/>
      <c r="U43" s="118"/>
      <c r="V43" s="118"/>
    </row>
    <row r="44" spans="1:22">
      <c r="A44" s="79"/>
      <c r="B44" s="80"/>
      <c r="C44" s="80"/>
      <c r="D44" s="80"/>
      <c r="E44" s="80"/>
      <c r="F44" s="79"/>
      <c r="G44" s="79"/>
      <c r="H44" s="80"/>
      <c r="I44" s="80"/>
      <c r="J44" s="80"/>
      <c r="K44" s="80"/>
      <c r="L44" s="79"/>
      <c r="M44" s="79"/>
      <c r="N44" s="80"/>
      <c r="O44" s="80"/>
      <c r="P44" s="80"/>
      <c r="Q44" s="80"/>
      <c r="R44" s="79"/>
      <c r="S44" s="79"/>
      <c r="T44" s="80"/>
      <c r="U44" s="80"/>
      <c r="V44" s="80"/>
    </row>
    <row r="45" spans="1:22">
      <c r="A45" s="79"/>
      <c r="B45" s="80"/>
      <c r="C45" s="80"/>
      <c r="D45" s="80"/>
      <c r="E45" s="80"/>
      <c r="F45" s="79"/>
      <c r="G45" s="79"/>
      <c r="H45" s="80"/>
      <c r="I45" s="80"/>
      <c r="J45" s="80"/>
      <c r="K45" s="80"/>
      <c r="L45" s="79"/>
      <c r="M45" s="79"/>
      <c r="N45" s="80"/>
      <c r="O45" s="80"/>
      <c r="P45" s="80"/>
      <c r="Q45" s="80"/>
      <c r="R45" s="79"/>
      <c r="S45" s="79"/>
      <c r="T45" s="80"/>
      <c r="U45" s="80"/>
      <c r="V45" s="80"/>
    </row>
    <row r="46" spans="1:22">
      <c r="A46" s="79"/>
      <c r="B46" s="80"/>
      <c r="C46" s="80"/>
      <c r="D46" s="80"/>
      <c r="E46" s="80"/>
      <c r="F46" s="79"/>
      <c r="G46" s="79"/>
      <c r="H46" s="80"/>
      <c r="I46" s="80"/>
      <c r="J46" s="80"/>
      <c r="K46" s="80"/>
      <c r="L46" s="79"/>
      <c r="M46" s="79"/>
      <c r="N46" s="80"/>
      <c r="O46" s="80"/>
      <c r="P46" s="80"/>
      <c r="Q46" s="80"/>
      <c r="R46" s="79"/>
      <c r="S46" s="79"/>
      <c r="T46" s="80"/>
      <c r="U46" s="80"/>
      <c r="V46" s="80"/>
    </row>
    <row r="47" spans="1:22">
      <c r="A47" s="79"/>
      <c r="B47" s="80"/>
      <c r="C47" s="80"/>
      <c r="D47" s="80"/>
      <c r="E47" s="80"/>
      <c r="F47" s="79"/>
      <c r="G47" s="79"/>
      <c r="H47" s="80"/>
      <c r="I47" s="80"/>
      <c r="J47" s="80"/>
      <c r="K47" s="80"/>
      <c r="L47" s="79"/>
      <c r="M47" s="79"/>
      <c r="N47" s="80"/>
      <c r="O47" s="80"/>
      <c r="P47" s="80"/>
      <c r="Q47" s="80"/>
      <c r="R47" s="79"/>
      <c r="S47" s="79"/>
      <c r="T47" s="80"/>
      <c r="U47" s="80"/>
      <c r="V47" s="80"/>
    </row>
    <row r="48" spans="1:22">
      <c r="A48" s="79"/>
      <c r="B48" s="80"/>
      <c r="C48" s="80"/>
      <c r="D48" s="80"/>
      <c r="E48" s="80"/>
      <c r="F48" s="79"/>
      <c r="G48" s="79"/>
      <c r="H48" s="80"/>
      <c r="I48" s="80"/>
      <c r="J48" s="80"/>
      <c r="K48" s="80"/>
      <c r="L48" s="79"/>
      <c r="M48" s="79"/>
      <c r="N48" s="80"/>
      <c r="O48" s="80"/>
      <c r="P48" s="80"/>
      <c r="Q48" s="80"/>
      <c r="R48" s="79"/>
      <c r="S48" s="79"/>
      <c r="T48" s="80"/>
      <c r="U48" s="80"/>
      <c r="V48" s="80"/>
    </row>
    <row r="49" spans="1:22">
      <c r="A49" s="79"/>
      <c r="B49" s="80"/>
      <c r="C49" s="80"/>
      <c r="D49" s="80"/>
      <c r="E49" s="80"/>
      <c r="F49" s="79"/>
      <c r="G49" s="79"/>
      <c r="H49" s="80"/>
      <c r="I49" s="80"/>
      <c r="J49" s="80"/>
      <c r="K49" s="80"/>
      <c r="L49" s="79"/>
      <c r="M49" s="79"/>
      <c r="N49" s="80"/>
      <c r="O49" s="80"/>
      <c r="P49" s="80"/>
      <c r="Q49" s="80"/>
      <c r="R49" s="79"/>
      <c r="S49" s="79"/>
      <c r="T49" s="80"/>
      <c r="U49" s="80"/>
      <c r="V49" s="80"/>
    </row>
    <row r="50" spans="1:22">
      <c r="A50" s="81"/>
      <c r="B50" s="80"/>
      <c r="C50" s="80"/>
      <c r="D50" s="80"/>
      <c r="E50" s="80"/>
      <c r="F50" s="79"/>
      <c r="G50" s="81"/>
      <c r="H50" s="80"/>
      <c r="I50" s="80"/>
      <c r="J50" s="80"/>
      <c r="K50" s="80"/>
      <c r="L50" s="79"/>
      <c r="M50" s="81"/>
      <c r="N50" s="80"/>
      <c r="O50" s="80"/>
      <c r="P50" s="80"/>
      <c r="Q50" s="80"/>
      <c r="R50" s="79"/>
      <c r="S50" s="81"/>
      <c r="T50" s="80"/>
      <c r="U50" s="80"/>
      <c r="V50" s="80"/>
    </row>
    <row r="53" spans="1:22">
      <c r="A53" s="79"/>
      <c r="B53" s="118"/>
      <c r="C53" s="118"/>
      <c r="D53" s="118"/>
      <c r="E53" s="80"/>
      <c r="F53" s="79"/>
      <c r="G53" s="79"/>
      <c r="H53" s="118"/>
      <c r="I53" s="118"/>
      <c r="J53" s="118"/>
      <c r="K53" s="80"/>
      <c r="L53" s="79"/>
      <c r="M53" s="79"/>
      <c r="N53" s="118"/>
      <c r="O53" s="118"/>
      <c r="P53" s="118"/>
      <c r="Q53" s="80"/>
      <c r="R53" s="79"/>
      <c r="S53" s="79"/>
      <c r="T53" s="118"/>
      <c r="U53" s="118"/>
      <c r="V53" s="118"/>
    </row>
    <row r="54" spans="1:22">
      <c r="A54" s="79"/>
      <c r="B54" s="80"/>
      <c r="C54" s="80"/>
      <c r="D54" s="80"/>
      <c r="E54" s="80"/>
      <c r="F54" s="79"/>
      <c r="G54" s="79"/>
      <c r="H54" s="80"/>
      <c r="I54" s="80"/>
      <c r="J54" s="80"/>
      <c r="K54" s="80"/>
      <c r="L54" s="79"/>
      <c r="M54" s="79"/>
      <c r="N54" s="80"/>
      <c r="O54" s="80"/>
      <c r="P54" s="80"/>
      <c r="Q54" s="80"/>
      <c r="R54" s="79"/>
      <c r="S54" s="79"/>
      <c r="T54" s="80"/>
      <c r="U54" s="80"/>
      <c r="V54" s="80"/>
    </row>
    <row r="55" spans="1:22">
      <c r="A55" s="79"/>
      <c r="B55" s="80"/>
      <c r="C55" s="80"/>
      <c r="D55" s="80"/>
      <c r="E55" s="80"/>
      <c r="F55" s="79"/>
      <c r="G55" s="79"/>
      <c r="H55" s="80"/>
      <c r="I55" s="80"/>
      <c r="J55" s="80"/>
      <c r="K55" s="80"/>
      <c r="L55" s="79"/>
      <c r="M55" s="79"/>
      <c r="N55" s="80"/>
      <c r="O55" s="80"/>
      <c r="P55" s="80"/>
      <c r="Q55" s="80"/>
      <c r="R55" s="79"/>
      <c r="S55" s="79"/>
      <c r="T55" s="80"/>
      <c r="U55" s="80"/>
      <c r="V55" s="80"/>
    </row>
    <row r="56" spans="1:22">
      <c r="A56" s="79"/>
      <c r="B56" s="80"/>
      <c r="C56" s="80"/>
      <c r="D56" s="80"/>
      <c r="E56" s="80"/>
      <c r="F56" s="79"/>
      <c r="G56" s="79"/>
      <c r="H56" s="80"/>
      <c r="I56" s="80"/>
      <c r="J56" s="80"/>
      <c r="K56" s="80"/>
      <c r="L56" s="79"/>
      <c r="M56" s="79"/>
      <c r="N56" s="80"/>
      <c r="O56" s="80"/>
      <c r="P56" s="80"/>
      <c r="Q56" s="80"/>
      <c r="R56" s="79"/>
      <c r="S56" s="79"/>
      <c r="T56" s="80"/>
      <c r="U56" s="80"/>
      <c r="V56" s="80"/>
    </row>
    <row r="57" spans="1:22">
      <c r="A57" s="79"/>
      <c r="B57" s="80"/>
      <c r="C57" s="80"/>
      <c r="D57" s="80"/>
      <c r="E57" s="80"/>
      <c r="F57" s="79"/>
      <c r="G57" s="79"/>
      <c r="H57" s="80"/>
      <c r="I57" s="80"/>
      <c r="J57" s="80"/>
      <c r="K57" s="80"/>
      <c r="L57" s="79"/>
      <c r="M57" s="79"/>
      <c r="N57" s="80"/>
      <c r="O57" s="80"/>
      <c r="P57" s="80"/>
      <c r="Q57" s="80"/>
      <c r="R57" s="79"/>
      <c r="S57" s="79"/>
      <c r="T57" s="80"/>
      <c r="U57" s="80"/>
      <c r="V57" s="80"/>
    </row>
    <row r="58" spans="1:22">
      <c r="A58" s="79"/>
      <c r="B58" s="80"/>
      <c r="C58" s="80"/>
      <c r="D58" s="80"/>
      <c r="E58" s="80"/>
      <c r="F58" s="79"/>
      <c r="G58" s="79"/>
      <c r="H58" s="80"/>
      <c r="I58" s="80"/>
      <c r="J58" s="80"/>
      <c r="K58" s="80"/>
      <c r="L58" s="79"/>
      <c r="M58" s="79"/>
      <c r="N58" s="80"/>
      <c r="O58" s="80"/>
      <c r="P58" s="80"/>
      <c r="Q58" s="80"/>
      <c r="R58" s="79"/>
      <c r="S58" s="79"/>
      <c r="T58" s="80"/>
      <c r="U58" s="80"/>
      <c r="V58" s="80"/>
    </row>
    <row r="59" spans="1:22">
      <c r="A59" s="79"/>
      <c r="B59" s="80"/>
      <c r="C59" s="80"/>
      <c r="D59" s="80"/>
      <c r="E59" s="80"/>
      <c r="F59" s="79"/>
      <c r="G59" s="79"/>
      <c r="H59" s="80"/>
      <c r="I59" s="80"/>
      <c r="J59" s="80"/>
      <c r="K59" s="80"/>
      <c r="L59" s="79"/>
      <c r="M59" s="79"/>
      <c r="N59" s="80"/>
      <c r="O59" s="80"/>
      <c r="P59" s="80"/>
      <c r="Q59" s="80"/>
      <c r="R59" s="79"/>
      <c r="S59" s="79"/>
      <c r="T59" s="80"/>
      <c r="U59" s="80"/>
      <c r="V59" s="80"/>
    </row>
    <row r="60" spans="1:22">
      <c r="A60" s="81"/>
      <c r="B60" s="80"/>
      <c r="C60" s="80"/>
      <c r="D60" s="80"/>
      <c r="E60" s="80"/>
      <c r="F60" s="79"/>
      <c r="G60" s="81"/>
      <c r="H60" s="80"/>
      <c r="I60" s="80"/>
      <c r="J60" s="80"/>
      <c r="K60" s="80"/>
      <c r="L60" s="79"/>
      <c r="M60" s="81"/>
      <c r="N60" s="80"/>
      <c r="O60" s="80"/>
      <c r="P60" s="80"/>
      <c r="Q60" s="80"/>
      <c r="R60" s="79"/>
      <c r="S60" s="81"/>
      <c r="T60" s="80"/>
      <c r="U60" s="80"/>
      <c r="V60" s="80"/>
    </row>
  </sheetData>
  <mergeCells count="31">
    <mergeCell ref="B3:D3"/>
    <mergeCell ref="H3:J3"/>
    <mergeCell ref="N3:P3"/>
    <mergeCell ref="T3:V3"/>
    <mergeCell ref="B13:D13"/>
    <mergeCell ref="H13:J13"/>
    <mergeCell ref="N13:P13"/>
    <mergeCell ref="T13:V13"/>
    <mergeCell ref="B23:D23"/>
    <mergeCell ref="H23:J23"/>
    <mergeCell ref="N23:P23"/>
    <mergeCell ref="T23:V23"/>
    <mergeCell ref="B33:D33"/>
    <mergeCell ref="H33:J33"/>
    <mergeCell ref="N33:P33"/>
    <mergeCell ref="T33:V33"/>
    <mergeCell ref="T27:V27"/>
    <mergeCell ref="M25:R25"/>
    <mergeCell ref="M26:R26"/>
    <mergeCell ref="M27:R27"/>
    <mergeCell ref="M28:R28"/>
    <mergeCell ref="M29:R29"/>
    <mergeCell ref="M30:R30"/>
    <mergeCell ref="B43:D43"/>
    <mergeCell ref="H43:J43"/>
    <mergeCell ref="N43:P43"/>
    <mergeCell ref="T43:V43"/>
    <mergeCell ref="B53:D53"/>
    <mergeCell ref="H53:J53"/>
    <mergeCell ref="N53:P53"/>
    <mergeCell ref="T53:V53"/>
  </mergeCells>
  <phoneticPr fontId="9"/>
  <pageMargins left="0.7" right="0.7" top="0.75" bottom="0.75" header="0.3" footer="0.3"/>
  <pageSetup paperSize="8" scale="9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D84F-3C65-4863-803C-5F4C3E4366DE}">
  <dimension ref="A1:AR42"/>
  <sheetViews>
    <sheetView topLeftCell="M12" zoomScale="77" workbookViewId="0">
      <selection activeCell="AF29" sqref="AF29"/>
    </sheetView>
  </sheetViews>
  <sheetFormatPr defaultRowHeight="12.75"/>
  <sheetData>
    <row r="1" spans="1:44">
      <c r="A1" s="144" t="s">
        <v>574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</row>
    <row r="2" spans="1:44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</row>
    <row r="3" spans="1:44">
      <c r="A3" s="79"/>
      <c r="B3" s="118" t="s">
        <v>564</v>
      </c>
      <c r="C3" s="118"/>
      <c r="D3" s="118"/>
      <c r="E3" s="80"/>
      <c r="F3" s="79"/>
      <c r="G3" s="79"/>
      <c r="H3" s="118" t="s">
        <v>564</v>
      </c>
      <c r="I3" s="118"/>
      <c r="J3" s="118"/>
      <c r="K3" s="80"/>
      <c r="L3" s="79"/>
      <c r="M3" s="79"/>
      <c r="N3" s="118" t="s">
        <v>564</v>
      </c>
      <c r="O3" s="118"/>
      <c r="P3" s="118"/>
      <c r="Q3" s="80"/>
      <c r="R3" s="79"/>
      <c r="S3" s="79"/>
      <c r="T3" s="118" t="s">
        <v>585</v>
      </c>
      <c r="U3" s="118"/>
      <c r="V3" s="118"/>
      <c r="W3" s="79"/>
      <c r="Z3" s="79"/>
      <c r="AA3" s="118" t="s">
        <v>564</v>
      </c>
      <c r="AB3" s="118"/>
      <c r="AC3" s="118"/>
      <c r="AD3" s="79"/>
      <c r="AG3" s="79"/>
      <c r="AH3" s="118" t="s">
        <v>461</v>
      </c>
      <c r="AI3" s="118"/>
      <c r="AJ3" s="118"/>
      <c r="AK3" s="79" t="s">
        <v>436</v>
      </c>
      <c r="AL3" s="79" t="s">
        <v>437</v>
      </c>
      <c r="AM3" s="79"/>
      <c r="AN3" s="118" t="s">
        <v>460</v>
      </c>
      <c r="AO3" s="118"/>
      <c r="AP3" s="118"/>
      <c r="AQ3" s="79" t="s">
        <v>436</v>
      </c>
      <c r="AR3" s="79" t="s">
        <v>437</v>
      </c>
    </row>
    <row r="4" spans="1:44">
      <c r="A4" s="79"/>
      <c r="B4" s="80" t="s">
        <v>334</v>
      </c>
      <c r="C4" s="80" t="s">
        <v>267</v>
      </c>
      <c r="D4" s="80" t="s">
        <v>274</v>
      </c>
      <c r="E4" s="79" t="s">
        <v>436</v>
      </c>
      <c r="F4" s="79" t="s">
        <v>437</v>
      </c>
      <c r="G4" s="79"/>
      <c r="H4" s="80" t="s">
        <v>334</v>
      </c>
      <c r="I4" s="80" t="s">
        <v>267</v>
      </c>
      <c r="J4" s="80" t="s">
        <v>274</v>
      </c>
      <c r="K4" s="79" t="s">
        <v>436</v>
      </c>
      <c r="L4" s="79" t="s">
        <v>437</v>
      </c>
      <c r="M4" s="79"/>
      <c r="N4" s="80" t="s">
        <v>334</v>
      </c>
      <c r="O4" s="80" t="s">
        <v>267</v>
      </c>
      <c r="P4" s="80" t="s">
        <v>274</v>
      </c>
      <c r="Q4" s="79" t="s">
        <v>436</v>
      </c>
      <c r="R4" s="79" t="s">
        <v>437</v>
      </c>
      <c r="S4" s="79"/>
      <c r="T4" s="80" t="s">
        <v>334</v>
      </c>
      <c r="U4" s="80" t="s">
        <v>267</v>
      </c>
      <c r="V4" s="80" t="s">
        <v>274</v>
      </c>
      <c r="W4" s="79" t="s">
        <v>436</v>
      </c>
      <c r="X4" s="79" t="s">
        <v>437</v>
      </c>
      <c r="Z4" s="79"/>
      <c r="AA4" s="80" t="s">
        <v>334</v>
      </c>
      <c r="AB4" s="80" t="s">
        <v>267</v>
      </c>
      <c r="AC4" s="80" t="s">
        <v>274</v>
      </c>
      <c r="AD4" s="79" t="s">
        <v>436</v>
      </c>
      <c r="AE4" s="79" t="s">
        <v>437</v>
      </c>
      <c r="AG4" s="79">
        <v>1</v>
      </c>
      <c r="AH4" s="80" t="s">
        <v>419</v>
      </c>
      <c r="AI4" s="80" t="s">
        <v>412</v>
      </c>
      <c r="AJ4" s="80" t="s">
        <v>405</v>
      </c>
      <c r="AK4" s="79"/>
      <c r="AL4" s="79"/>
      <c r="AM4" s="79">
        <v>1</v>
      </c>
      <c r="AN4" s="80" t="s">
        <v>367</v>
      </c>
      <c r="AO4" s="80" t="s">
        <v>429</v>
      </c>
      <c r="AP4" s="80" t="s">
        <v>372</v>
      </c>
      <c r="AQ4" s="79" t="s">
        <v>367</v>
      </c>
      <c r="AR4" s="79"/>
    </row>
    <row r="5" spans="1:44">
      <c r="A5" s="79">
        <v>1</v>
      </c>
      <c r="B5" s="80" t="s">
        <v>339</v>
      </c>
      <c r="C5" s="80" t="s">
        <v>259</v>
      </c>
      <c r="D5" s="80" t="s">
        <v>417</v>
      </c>
      <c r="E5" s="80" t="s">
        <v>417</v>
      </c>
      <c r="F5" s="79"/>
      <c r="G5" s="79">
        <v>1</v>
      </c>
      <c r="H5" s="80" t="s">
        <v>367</v>
      </c>
      <c r="I5" s="80" t="s">
        <v>331</v>
      </c>
      <c r="J5" s="80" t="s">
        <v>394</v>
      </c>
      <c r="K5" s="80" t="s">
        <v>367</v>
      </c>
      <c r="L5" s="79" t="s">
        <v>442</v>
      </c>
      <c r="M5" s="79">
        <v>1</v>
      </c>
      <c r="N5" s="80" t="s">
        <v>377</v>
      </c>
      <c r="O5" s="80" t="s">
        <v>485</v>
      </c>
      <c r="P5" s="80" t="s">
        <v>416</v>
      </c>
      <c r="Q5" s="80"/>
      <c r="R5" s="79"/>
      <c r="S5" s="79">
        <v>1</v>
      </c>
      <c r="T5" s="80"/>
      <c r="U5" s="80"/>
      <c r="V5" s="80"/>
      <c r="W5" s="79"/>
      <c r="X5" s="79"/>
      <c r="Y5" s="79"/>
      <c r="Z5" s="79">
        <v>1</v>
      </c>
      <c r="AA5" s="80" t="s">
        <v>406</v>
      </c>
      <c r="AB5" s="80" t="s">
        <v>392</v>
      </c>
      <c r="AC5" s="80" t="s">
        <v>420</v>
      </c>
      <c r="AD5" s="79"/>
      <c r="AE5" s="79"/>
      <c r="AG5" s="79">
        <v>2</v>
      </c>
      <c r="AH5" s="80" t="s">
        <v>351</v>
      </c>
      <c r="AI5" s="80" t="s">
        <v>410</v>
      </c>
      <c r="AJ5" s="80" t="s">
        <v>357</v>
      </c>
      <c r="AK5" s="79"/>
      <c r="AL5" s="79"/>
      <c r="AM5" s="79">
        <v>2</v>
      </c>
      <c r="AN5" s="80" t="s">
        <v>394</v>
      </c>
      <c r="AO5" s="80" t="s">
        <v>448</v>
      </c>
      <c r="AP5" s="80" t="s">
        <v>348</v>
      </c>
      <c r="AQ5" s="79"/>
      <c r="AR5" s="79"/>
    </row>
    <row r="6" spans="1:44">
      <c r="A6" s="79">
        <v>2</v>
      </c>
      <c r="B6" s="80" t="s">
        <v>569</v>
      </c>
      <c r="C6" s="80" t="s">
        <v>269</v>
      </c>
      <c r="D6" s="80" t="s">
        <v>343</v>
      </c>
      <c r="E6" s="80"/>
      <c r="F6" s="79"/>
      <c r="G6" s="79">
        <v>2</v>
      </c>
      <c r="H6" s="80" t="s">
        <v>419</v>
      </c>
      <c r="I6" s="80" t="s">
        <v>402</v>
      </c>
      <c r="J6" s="80" t="s">
        <v>444</v>
      </c>
      <c r="K6" s="80"/>
      <c r="L6" s="79"/>
      <c r="M6" s="79">
        <v>2</v>
      </c>
      <c r="N6" s="80" t="s">
        <v>381</v>
      </c>
      <c r="O6" s="80" t="s">
        <v>384</v>
      </c>
      <c r="P6" s="80" t="s">
        <v>395</v>
      </c>
      <c r="Q6" s="80"/>
      <c r="R6" s="79"/>
      <c r="S6" s="79">
        <v>2</v>
      </c>
      <c r="T6" s="80"/>
      <c r="U6" s="80"/>
      <c r="V6" s="80"/>
      <c r="W6" s="79"/>
      <c r="Z6" s="79">
        <v>2</v>
      </c>
      <c r="AA6" s="80" t="s">
        <v>413</v>
      </c>
      <c r="AB6" s="80" t="s">
        <v>443</v>
      </c>
      <c r="AC6" s="80" t="s">
        <v>405</v>
      </c>
      <c r="AD6" s="79"/>
      <c r="AG6" s="79">
        <v>3</v>
      </c>
      <c r="AH6" s="80" t="s">
        <v>442</v>
      </c>
      <c r="AI6" s="80" t="s">
        <v>261</v>
      </c>
      <c r="AJ6" s="80" t="s">
        <v>366</v>
      </c>
      <c r="AK6" s="79"/>
      <c r="AL6" s="79"/>
      <c r="AM6" s="79">
        <v>3</v>
      </c>
      <c r="AN6" s="80" t="s">
        <v>337</v>
      </c>
      <c r="AO6" s="80" t="s">
        <v>346</v>
      </c>
      <c r="AP6" s="80" t="s">
        <v>340</v>
      </c>
      <c r="AQ6" s="79" t="s">
        <v>340</v>
      </c>
      <c r="AR6" s="79"/>
    </row>
    <row r="7" spans="1:44">
      <c r="A7" s="79">
        <v>3</v>
      </c>
      <c r="B7" s="80" t="s">
        <v>372</v>
      </c>
      <c r="C7" s="80" t="s">
        <v>375</v>
      </c>
      <c r="D7" s="80" t="s">
        <v>348</v>
      </c>
      <c r="E7" s="80"/>
      <c r="F7" s="79"/>
      <c r="G7" s="79">
        <v>3</v>
      </c>
      <c r="H7" s="80" t="s">
        <v>336</v>
      </c>
      <c r="I7" s="80" t="s">
        <v>414</v>
      </c>
      <c r="J7" s="80" t="s">
        <v>363</v>
      </c>
      <c r="K7" s="80" t="s">
        <v>363</v>
      </c>
      <c r="L7" s="79"/>
      <c r="M7" s="79">
        <v>3</v>
      </c>
      <c r="N7" s="80" t="s">
        <v>379</v>
      </c>
      <c r="O7" s="80" t="s">
        <v>530</v>
      </c>
      <c r="P7" s="80" t="s">
        <v>520</v>
      </c>
      <c r="Q7" s="80"/>
      <c r="R7" s="79"/>
      <c r="S7" s="79">
        <v>3</v>
      </c>
      <c r="T7" s="80"/>
      <c r="U7" s="80"/>
      <c r="V7" s="80"/>
      <c r="W7" s="79"/>
      <c r="Z7" s="79">
        <v>3</v>
      </c>
      <c r="AA7" s="80" t="s">
        <v>399</v>
      </c>
      <c r="AB7" s="80" t="s">
        <v>261</v>
      </c>
      <c r="AC7" s="80" t="s">
        <v>535</v>
      </c>
      <c r="AD7" s="79"/>
      <c r="AG7" s="79">
        <v>4</v>
      </c>
      <c r="AH7" s="80" t="s">
        <v>435</v>
      </c>
      <c r="AI7" s="80" t="s">
        <v>358</v>
      </c>
      <c r="AJ7" s="80" t="s">
        <v>365</v>
      </c>
      <c r="AK7" s="79" t="s">
        <v>435</v>
      </c>
      <c r="AL7" s="79"/>
      <c r="AM7" s="79">
        <v>4</v>
      </c>
      <c r="AN7" s="80" t="s">
        <v>400</v>
      </c>
      <c r="AO7" s="80" t="s">
        <v>375</v>
      </c>
      <c r="AP7" s="80" t="s">
        <v>415</v>
      </c>
      <c r="AQ7" s="79"/>
      <c r="AR7" s="79"/>
    </row>
    <row r="8" spans="1:44">
      <c r="A8" s="79">
        <v>4</v>
      </c>
      <c r="B8" s="80" t="s">
        <v>368</v>
      </c>
      <c r="C8" s="80" t="s">
        <v>346</v>
      </c>
      <c r="D8" s="80" t="s">
        <v>342</v>
      </c>
      <c r="E8" s="80" t="s">
        <v>368</v>
      </c>
      <c r="F8" s="79"/>
      <c r="G8" s="79">
        <v>4</v>
      </c>
      <c r="H8" s="80" t="s">
        <v>401</v>
      </c>
      <c r="I8" s="80" t="s">
        <v>412</v>
      </c>
      <c r="J8" s="80" t="s">
        <v>415</v>
      </c>
      <c r="K8" s="80"/>
      <c r="L8" s="79" t="s">
        <v>349</v>
      </c>
      <c r="M8" s="79">
        <v>4</v>
      </c>
      <c r="N8" s="80" t="s">
        <v>380</v>
      </c>
      <c r="O8" s="80" t="s">
        <v>385</v>
      </c>
      <c r="P8" s="80" t="s">
        <v>383</v>
      </c>
      <c r="Q8" s="80" t="s">
        <v>385</v>
      </c>
      <c r="R8" s="79"/>
      <c r="S8" s="79">
        <v>4</v>
      </c>
      <c r="T8" s="80"/>
      <c r="U8" s="80"/>
      <c r="V8" s="80"/>
      <c r="W8" s="79"/>
      <c r="Z8" s="79">
        <v>4</v>
      </c>
      <c r="AA8" s="80" t="s">
        <v>407</v>
      </c>
      <c r="AB8" s="80" t="s">
        <v>373</v>
      </c>
      <c r="AC8" s="80" t="s">
        <v>404</v>
      </c>
      <c r="AD8" s="79" t="s">
        <v>404</v>
      </c>
      <c r="AG8" s="79">
        <v>5</v>
      </c>
      <c r="AH8" s="80" t="s">
        <v>471</v>
      </c>
      <c r="AI8" s="80" t="s">
        <v>359</v>
      </c>
      <c r="AJ8" s="80" t="s">
        <v>417</v>
      </c>
      <c r="AK8" s="79"/>
      <c r="AL8" s="79"/>
      <c r="AM8" s="79">
        <v>5</v>
      </c>
      <c r="AN8" s="80" t="s">
        <v>336</v>
      </c>
      <c r="AO8" s="80" t="s">
        <v>390</v>
      </c>
      <c r="AP8" s="80" t="s">
        <v>342</v>
      </c>
      <c r="AQ8" s="79"/>
      <c r="AR8" s="79"/>
    </row>
    <row r="9" spans="1:44">
      <c r="A9" s="79">
        <v>5</v>
      </c>
      <c r="B9" s="80" t="s">
        <v>340</v>
      </c>
      <c r="C9" s="80" t="s">
        <v>347</v>
      </c>
      <c r="D9" s="80" t="s">
        <v>458</v>
      </c>
      <c r="E9" s="80" t="s">
        <v>340</v>
      </c>
      <c r="F9" s="79"/>
      <c r="G9" s="79">
        <v>5</v>
      </c>
      <c r="H9" s="80" t="s">
        <v>409</v>
      </c>
      <c r="I9" s="80" t="s">
        <v>390</v>
      </c>
      <c r="J9" s="80" t="s">
        <v>422</v>
      </c>
      <c r="K9" s="80"/>
      <c r="L9" s="79"/>
      <c r="M9" s="79">
        <v>5</v>
      </c>
      <c r="N9" s="80" t="s">
        <v>427</v>
      </c>
      <c r="O9" s="80" t="s">
        <v>441</v>
      </c>
      <c r="P9" s="80" t="s">
        <v>389</v>
      </c>
      <c r="Q9" s="80" t="s">
        <v>389</v>
      </c>
      <c r="R9" s="79" t="s">
        <v>445</v>
      </c>
      <c r="S9" s="79">
        <v>5</v>
      </c>
      <c r="T9" s="80"/>
      <c r="U9" s="80"/>
      <c r="V9" s="80"/>
      <c r="W9" s="79"/>
      <c r="Z9" s="79">
        <v>5</v>
      </c>
      <c r="AA9" s="80" t="s">
        <v>353</v>
      </c>
      <c r="AB9" s="80" t="s">
        <v>572</v>
      </c>
      <c r="AC9" s="80" t="s">
        <v>351</v>
      </c>
      <c r="AD9" s="79" t="s">
        <v>351</v>
      </c>
      <c r="AG9" s="81" t="s">
        <v>335</v>
      </c>
      <c r="AH9" s="80" t="s">
        <v>368</v>
      </c>
      <c r="AI9" s="80" t="s">
        <v>362</v>
      </c>
      <c r="AJ9" s="80" t="s">
        <v>373</v>
      </c>
      <c r="AK9" s="79"/>
      <c r="AL9" s="79"/>
      <c r="AM9" s="81" t="s">
        <v>335</v>
      </c>
      <c r="AN9" s="80" t="s">
        <v>406</v>
      </c>
      <c r="AO9" s="80" t="s">
        <v>454</v>
      </c>
      <c r="AP9" s="80" t="s">
        <v>343</v>
      </c>
      <c r="AQ9" s="79"/>
      <c r="AR9" s="79"/>
    </row>
    <row r="10" spans="1:44">
      <c r="A10" s="81" t="s">
        <v>335</v>
      </c>
      <c r="B10" s="80" t="s">
        <v>369</v>
      </c>
      <c r="C10" s="80" t="s">
        <v>370</v>
      </c>
      <c r="D10" s="80" t="s">
        <v>536</v>
      </c>
      <c r="E10" s="80"/>
      <c r="F10" s="79"/>
      <c r="G10" s="81" t="s">
        <v>335</v>
      </c>
      <c r="H10" s="80" t="s">
        <v>397</v>
      </c>
      <c r="I10" s="80" t="s">
        <v>387</v>
      </c>
      <c r="J10" s="80" t="s">
        <v>376</v>
      </c>
      <c r="K10" s="80"/>
      <c r="L10" s="79"/>
      <c r="M10" s="81" t="s">
        <v>335</v>
      </c>
      <c r="N10" s="80" t="s">
        <v>398</v>
      </c>
      <c r="O10" s="80" t="s">
        <v>411</v>
      </c>
      <c r="P10" s="80" t="s">
        <v>365</v>
      </c>
      <c r="Q10" s="80"/>
      <c r="R10" s="79"/>
      <c r="S10" s="81" t="s">
        <v>335</v>
      </c>
      <c r="T10" s="80"/>
      <c r="U10" s="80"/>
      <c r="V10" s="80"/>
      <c r="W10" s="79"/>
      <c r="X10" s="79"/>
      <c r="Y10" s="79"/>
      <c r="Z10" s="81" t="s">
        <v>335</v>
      </c>
      <c r="AA10" s="80" t="s">
        <v>428</v>
      </c>
      <c r="AB10" s="80" t="s">
        <v>362</v>
      </c>
      <c r="AC10" s="80" t="s">
        <v>511</v>
      </c>
      <c r="AD10" s="79"/>
      <c r="AE10" s="79"/>
    </row>
    <row r="11" spans="1:44">
      <c r="A11" s="79"/>
      <c r="B11" s="80"/>
      <c r="C11" s="80"/>
      <c r="D11" s="80"/>
      <c r="E11" s="80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79"/>
      <c r="V11" s="80"/>
      <c r="W11" s="79"/>
      <c r="Z11" s="79"/>
      <c r="AA11" s="80"/>
      <c r="AB11" s="79"/>
      <c r="AC11" s="80"/>
      <c r="AD11" s="79"/>
    </row>
    <row r="12" spans="1:44">
      <c r="A12" s="79"/>
      <c r="B12" s="80"/>
      <c r="C12" s="80"/>
      <c r="D12" s="80"/>
      <c r="E12" s="80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80"/>
      <c r="V12" s="79"/>
      <c r="W12" s="79"/>
      <c r="Z12" s="79"/>
      <c r="AA12" s="79"/>
      <c r="AB12" s="80"/>
      <c r="AC12" s="79"/>
      <c r="AD12" s="79"/>
    </row>
    <row r="13" spans="1:44">
      <c r="A13" s="79"/>
      <c r="B13" s="118" t="s">
        <v>565</v>
      </c>
      <c r="C13" s="118"/>
      <c r="D13" s="118"/>
      <c r="E13" s="80" t="s">
        <v>568</v>
      </c>
      <c r="F13" s="79"/>
      <c r="G13" s="79"/>
      <c r="H13" s="118" t="s">
        <v>565</v>
      </c>
      <c r="I13" s="118"/>
      <c r="J13" s="118"/>
      <c r="K13" s="80" t="s">
        <v>566</v>
      </c>
      <c r="L13" s="79"/>
      <c r="M13" s="79"/>
      <c r="N13" s="118" t="s">
        <v>565</v>
      </c>
      <c r="O13" s="118"/>
      <c r="P13" s="118"/>
      <c r="Q13" s="80" t="s">
        <v>567</v>
      </c>
      <c r="R13" s="79"/>
      <c r="S13" s="79"/>
      <c r="T13" s="118" t="s">
        <v>585</v>
      </c>
      <c r="U13" s="118"/>
      <c r="V13" s="118"/>
      <c r="W13" s="79"/>
      <c r="Z13" s="79"/>
      <c r="AA13" s="118" t="s">
        <v>565</v>
      </c>
      <c r="AB13" s="118"/>
      <c r="AC13" s="118"/>
      <c r="AD13" s="79" t="s">
        <v>246</v>
      </c>
      <c r="AG13" s="79"/>
      <c r="AH13" s="118" t="s">
        <v>461</v>
      </c>
      <c r="AI13" s="118"/>
      <c r="AJ13" s="118"/>
      <c r="AK13" s="79" t="s">
        <v>436</v>
      </c>
      <c r="AL13" s="79" t="s">
        <v>437</v>
      </c>
      <c r="AM13" s="79"/>
      <c r="AN13" s="118" t="s">
        <v>460</v>
      </c>
      <c r="AO13" s="118"/>
      <c r="AP13" s="118"/>
      <c r="AQ13" s="79" t="s">
        <v>436</v>
      </c>
      <c r="AR13" s="79" t="s">
        <v>437</v>
      </c>
    </row>
    <row r="14" spans="1:44">
      <c r="A14" s="79"/>
      <c r="B14" s="80" t="s">
        <v>334</v>
      </c>
      <c r="C14" s="80" t="s">
        <v>267</v>
      </c>
      <c r="D14" s="80" t="s">
        <v>274</v>
      </c>
      <c r="E14" s="79" t="s">
        <v>436</v>
      </c>
      <c r="F14" s="79" t="s">
        <v>437</v>
      </c>
      <c r="G14" s="79"/>
      <c r="H14" s="80" t="s">
        <v>334</v>
      </c>
      <c r="I14" s="80" t="s">
        <v>267</v>
      </c>
      <c r="J14" s="80" t="s">
        <v>274</v>
      </c>
      <c r="K14" s="79" t="s">
        <v>436</v>
      </c>
      <c r="L14" s="79" t="s">
        <v>437</v>
      </c>
      <c r="M14" s="79"/>
      <c r="N14" s="80" t="s">
        <v>334</v>
      </c>
      <c r="O14" s="80" t="s">
        <v>267</v>
      </c>
      <c r="P14" s="80" t="s">
        <v>274</v>
      </c>
      <c r="Q14" s="79" t="s">
        <v>436</v>
      </c>
      <c r="R14" s="79" t="s">
        <v>437</v>
      </c>
      <c r="S14" s="79"/>
      <c r="T14" s="80" t="s">
        <v>334</v>
      </c>
      <c r="U14" s="80" t="s">
        <v>267</v>
      </c>
      <c r="V14" s="80" t="s">
        <v>274</v>
      </c>
      <c r="W14" s="79" t="s">
        <v>436</v>
      </c>
      <c r="X14" s="79" t="s">
        <v>437</v>
      </c>
      <c r="Z14" s="79"/>
      <c r="AA14" s="80" t="s">
        <v>334</v>
      </c>
      <c r="AB14" s="80" t="s">
        <v>267</v>
      </c>
      <c r="AC14" s="80" t="s">
        <v>274</v>
      </c>
      <c r="AD14" s="79" t="s">
        <v>436</v>
      </c>
      <c r="AE14" s="79" t="s">
        <v>437</v>
      </c>
      <c r="AG14" s="79">
        <v>1</v>
      </c>
      <c r="AH14" s="80" t="s">
        <v>427</v>
      </c>
      <c r="AI14" s="80" t="s">
        <v>402</v>
      </c>
      <c r="AJ14" s="80" t="s">
        <v>404</v>
      </c>
      <c r="AK14" s="79" t="s">
        <v>404</v>
      </c>
      <c r="AL14" s="79" t="s">
        <v>475</v>
      </c>
      <c r="AM14" s="79">
        <v>1</v>
      </c>
      <c r="AN14" s="80" t="s">
        <v>399</v>
      </c>
      <c r="AO14" s="80" t="s">
        <v>402</v>
      </c>
      <c r="AP14" s="80" t="s">
        <v>422</v>
      </c>
    </row>
    <row r="15" spans="1:44">
      <c r="A15" s="79">
        <v>1</v>
      </c>
      <c r="B15" s="80" t="s">
        <v>336</v>
      </c>
      <c r="C15" s="80" t="s">
        <v>402</v>
      </c>
      <c r="D15" s="80" t="s">
        <v>340</v>
      </c>
      <c r="E15" s="80" t="s">
        <v>340</v>
      </c>
      <c r="F15" s="79"/>
      <c r="G15" s="79">
        <v>1</v>
      </c>
      <c r="H15" s="80" t="s">
        <v>427</v>
      </c>
      <c r="I15" s="80" t="s">
        <v>384</v>
      </c>
      <c r="J15" s="80" t="s">
        <v>417</v>
      </c>
      <c r="K15" s="80" t="s">
        <v>417</v>
      </c>
      <c r="L15" s="79" t="s">
        <v>512</v>
      </c>
      <c r="M15" s="79">
        <v>1</v>
      </c>
      <c r="N15" s="80" t="s">
        <v>401</v>
      </c>
      <c r="O15" s="80" t="s">
        <v>446</v>
      </c>
      <c r="P15" s="80" t="s">
        <v>396</v>
      </c>
      <c r="Q15" s="80"/>
      <c r="R15" s="79" t="s">
        <v>374</v>
      </c>
      <c r="S15" s="79">
        <v>1</v>
      </c>
      <c r="T15" s="80" t="s">
        <v>378</v>
      </c>
      <c r="U15" s="80"/>
      <c r="V15" s="80"/>
      <c r="W15" s="79"/>
      <c r="X15" s="79"/>
      <c r="Z15" s="79">
        <v>1</v>
      </c>
      <c r="AA15" s="80" t="s">
        <v>351</v>
      </c>
      <c r="AB15" s="80" t="s">
        <v>533</v>
      </c>
      <c r="AC15" s="80" t="s">
        <v>357</v>
      </c>
      <c r="AD15" s="79" t="s">
        <v>351</v>
      </c>
      <c r="AG15" s="79">
        <v>2</v>
      </c>
      <c r="AH15" s="80" t="s">
        <v>413</v>
      </c>
      <c r="AI15" s="80" t="s">
        <v>363</v>
      </c>
      <c r="AJ15" s="80" t="s">
        <v>503</v>
      </c>
      <c r="AK15" s="79" t="s">
        <v>363</v>
      </c>
      <c r="AL15" s="79"/>
      <c r="AM15" s="79">
        <v>2</v>
      </c>
      <c r="AN15" s="80" t="s">
        <v>394</v>
      </c>
      <c r="AO15" s="80" t="s">
        <v>448</v>
      </c>
      <c r="AP15" s="80" t="s">
        <v>348</v>
      </c>
    </row>
    <row r="16" spans="1:44">
      <c r="A16" s="79">
        <v>2</v>
      </c>
      <c r="B16" s="80" t="s">
        <v>337</v>
      </c>
      <c r="C16" s="80" t="s">
        <v>390</v>
      </c>
      <c r="D16" s="80" t="s">
        <v>458</v>
      </c>
      <c r="E16" s="80"/>
      <c r="F16" s="79"/>
      <c r="G16" s="79">
        <v>2</v>
      </c>
      <c r="H16" s="80" t="s">
        <v>423</v>
      </c>
      <c r="I16" s="80" t="s">
        <v>385</v>
      </c>
      <c r="J16" s="80" t="s">
        <v>501</v>
      </c>
      <c r="K16" s="80" t="s">
        <v>385</v>
      </c>
      <c r="L16" s="79"/>
      <c r="M16" s="79">
        <v>2</v>
      </c>
      <c r="N16" s="80" t="s">
        <v>413</v>
      </c>
      <c r="O16" s="80" t="s">
        <v>392</v>
      </c>
      <c r="P16" s="80" t="s">
        <v>416</v>
      </c>
      <c r="Q16" s="80"/>
      <c r="R16" s="79"/>
      <c r="S16" s="79">
        <v>2</v>
      </c>
      <c r="T16" s="80" t="s">
        <v>413</v>
      </c>
      <c r="U16" s="80"/>
      <c r="V16" s="80"/>
      <c r="W16" s="79"/>
      <c r="Z16" s="79">
        <v>2</v>
      </c>
      <c r="AA16" s="80" t="s">
        <v>398</v>
      </c>
      <c r="AB16" s="80" t="s">
        <v>358</v>
      </c>
      <c r="AC16" s="80" t="s">
        <v>366</v>
      </c>
      <c r="AD16" s="79"/>
      <c r="AG16" s="79">
        <v>3</v>
      </c>
      <c r="AH16" s="80" t="s">
        <v>409</v>
      </c>
      <c r="AI16" s="80" t="s">
        <v>414</v>
      </c>
      <c r="AJ16" s="80" t="s">
        <v>416</v>
      </c>
      <c r="AK16" s="79"/>
      <c r="AL16" s="79"/>
      <c r="AM16" s="79">
        <v>3</v>
      </c>
      <c r="AN16" s="80" t="s">
        <v>340</v>
      </c>
      <c r="AO16" s="80" t="s">
        <v>346</v>
      </c>
      <c r="AP16" s="80" t="s">
        <v>416</v>
      </c>
    </row>
    <row r="17" spans="1:42">
      <c r="A17" s="79">
        <v>3</v>
      </c>
      <c r="B17" s="80" t="s">
        <v>367</v>
      </c>
      <c r="C17" s="80" t="s">
        <v>412</v>
      </c>
      <c r="D17" s="80" t="s">
        <v>348</v>
      </c>
      <c r="E17" s="80" t="s">
        <v>367</v>
      </c>
      <c r="F17" s="79"/>
      <c r="G17" s="79">
        <v>3</v>
      </c>
      <c r="H17" s="80" t="s">
        <v>379</v>
      </c>
      <c r="I17" s="80" t="s">
        <v>266</v>
      </c>
      <c r="J17" s="80" t="s">
        <v>389</v>
      </c>
      <c r="K17" s="80" t="s">
        <v>389</v>
      </c>
      <c r="L17" s="79"/>
      <c r="M17" s="79">
        <v>3</v>
      </c>
      <c r="N17" s="80" t="s">
        <v>378</v>
      </c>
      <c r="O17" s="80" t="s">
        <v>485</v>
      </c>
      <c r="P17" s="80" t="s">
        <v>383</v>
      </c>
      <c r="Q17" s="80"/>
      <c r="R17" s="79"/>
      <c r="S17" s="79">
        <v>3</v>
      </c>
      <c r="T17" s="80" t="s">
        <v>406</v>
      </c>
      <c r="U17" s="80"/>
      <c r="V17" s="80"/>
      <c r="W17" s="79"/>
      <c r="Z17" s="79">
        <v>3</v>
      </c>
      <c r="AA17" s="80" t="s">
        <v>352</v>
      </c>
      <c r="AB17" s="80" t="s">
        <v>362</v>
      </c>
      <c r="AC17" s="80" t="s">
        <v>365</v>
      </c>
      <c r="AD17" s="79" t="s">
        <v>494</v>
      </c>
      <c r="AG17" s="79">
        <v>4</v>
      </c>
      <c r="AH17" s="80" t="s">
        <v>353</v>
      </c>
      <c r="AI17" s="80" t="s">
        <v>443</v>
      </c>
      <c r="AJ17" s="80" t="s">
        <v>383</v>
      </c>
      <c r="AK17" s="79"/>
      <c r="AL17" s="79"/>
      <c r="AM17" s="79">
        <v>4</v>
      </c>
      <c r="AN17" s="80" t="s">
        <v>372</v>
      </c>
      <c r="AO17" s="80" t="s">
        <v>373</v>
      </c>
      <c r="AP17" s="80" t="s">
        <v>415</v>
      </c>
    </row>
    <row r="18" spans="1:42">
      <c r="A18" s="79">
        <v>4</v>
      </c>
      <c r="B18" s="80" t="s">
        <v>339</v>
      </c>
      <c r="C18" s="80" t="s">
        <v>346</v>
      </c>
      <c r="D18" s="80" t="s">
        <v>394</v>
      </c>
      <c r="E18" s="80"/>
      <c r="F18" s="79"/>
      <c r="G18" s="79">
        <v>4</v>
      </c>
      <c r="H18" s="80" t="s">
        <v>380</v>
      </c>
      <c r="I18" s="80" t="s">
        <v>441</v>
      </c>
      <c r="J18" s="80" t="s">
        <v>388</v>
      </c>
      <c r="K18" s="80"/>
      <c r="L18" s="79"/>
      <c r="M18" s="79">
        <v>4</v>
      </c>
      <c r="N18" s="80" t="s">
        <v>409</v>
      </c>
      <c r="O18" s="80" t="s">
        <v>363</v>
      </c>
      <c r="P18" s="80" t="s">
        <v>444</v>
      </c>
      <c r="Q18" s="80" t="s">
        <v>363</v>
      </c>
      <c r="R18" s="79"/>
      <c r="S18" s="79">
        <v>4</v>
      </c>
      <c r="T18" s="80" t="s">
        <v>353</v>
      </c>
      <c r="U18" s="80"/>
      <c r="V18" s="80"/>
      <c r="W18" s="79"/>
      <c r="Z18" s="79">
        <v>4</v>
      </c>
      <c r="AA18" s="80" t="s">
        <v>353</v>
      </c>
      <c r="AB18" s="80" t="s">
        <v>359</v>
      </c>
      <c r="AC18" s="80" t="s">
        <v>535</v>
      </c>
      <c r="AD18" s="79"/>
      <c r="AE18" s="49"/>
      <c r="AG18" s="79">
        <v>5</v>
      </c>
      <c r="AH18" s="80" t="s">
        <v>399</v>
      </c>
      <c r="AI18" s="80" t="s">
        <v>382</v>
      </c>
      <c r="AJ18" s="80" t="s">
        <v>422</v>
      </c>
      <c r="AK18" s="79"/>
      <c r="AL18" s="79"/>
      <c r="AM18" s="79">
        <v>5</v>
      </c>
      <c r="AN18" s="80" t="s">
        <v>423</v>
      </c>
      <c r="AO18" s="80" t="s">
        <v>390</v>
      </c>
      <c r="AP18" s="80" t="s">
        <v>342</v>
      </c>
    </row>
    <row r="19" spans="1:42">
      <c r="A19" s="79">
        <v>5</v>
      </c>
      <c r="B19" s="80" t="s">
        <v>372</v>
      </c>
      <c r="C19" s="80" t="s">
        <v>448</v>
      </c>
      <c r="D19" s="80" t="s">
        <v>342</v>
      </c>
      <c r="E19" s="80"/>
      <c r="F19" s="79"/>
      <c r="G19" s="79">
        <v>5</v>
      </c>
      <c r="H19" s="80" t="s">
        <v>502</v>
      </c>
      <c r="I19" s="80" t="s">
        <v>382</v>
      </c>
      <c r="J19" s="80" t="s">
        <v>407</v>
      </c>
      <c r="K19" s="80"/>
      <c r="L19" s="79" t="s">
        <v>430</v>
      </c>
      <c r="M19" s="79">
        <v>5</v>
      </c>
      <c r="N19" s="80" t="s">
        <v>400</v>
      </c>
      <c r="O19" s="80" t="s">
        <v>411</v>
      </c>
      <c r="P19" s="80" t="s">
        <v>403</v>
      </c>
      <c r="Q19" s="80" t="s">
        <v>403</v>
      </c>
      <c r="R19" s="79"/>
      <c r="S19" s="79">
        <v>5</v>
      </c>
      <c r="T19" s="80"/>
      <c r="U19" s="80"/>
      <c r="V19" s="80"/>
      <c r="W19" s="79"/>
      <c r="Z19" s="79">
        <v>5</v>
      </c>
      <c r="AA19" s="80" t="s">
        <v>399</v>
      </c>
      <c r="AB19" s="80" t="s">
        <v>356</v>
      </c>
      <c r="AC19" s="80" t="s">
        <v>415</v>
      </c>
      <c r="AD19" s="79"/>
      <c r="AG19" s="81" t="s">
        <v>335</v>
      </c>
      <c r="AH19" s="80" t="s">
        <v>369</v>
      </c>
      <c r="AI19" s="80" t="s">
        <v>425</v>
      </c>
      <c r="AJ19" s="80" t="s">
        <v>376</v>
      </c>
      <c r="AK19" s="79"/>
      <c r="AL19" s="79"/>
      <c r="AM19" s="81" t="s">
        <v>335</v>
      </c>
      <c r="AN19" s="80" t="s">
        <v>419</v>
      </c>
      <c r="AO19" s="80" t="s">
        <v>387</v>
      </c>
      <c r="AP19" s="80" t="s">
        <v>357</v>
      </c>
    </row>
    <row r="20" spans="1:42">
      <c r="A20" s="81" t="s">
        <v>335</v>
      </c>
      <c r="B20" s="80" t="s">
        <v>419</v>
      </c>
      <c r="C20" s="80" t="s">
        <v>387</v>
      </c>
      <c r="D20" s="80" t="s">
        <v>498</v>
      </c>
      <c r="E20" s="80"/>
      <c r="F20" s="79"/>
      <c r="G20" s="81" t="s">
        <v>335</v>
      </c>
      <c r="H20" s="80" t="s">
        <v>368</v>
      </c>
      <c r="I20" s="80" t="s">
        <v>443</v>
      </c>
      <c r="J20" s="80" t="s">
        <v>343</v>
      </c>
      <c r="K20" s="80"/>
      <c r="L20" s="79"/>
      <c r="M20" s="81" t="s">
        <v>335</v>
      </c>
      <c r="N20" s="80" t="s">
        <v>369</v>
      </c>
      <c r="O20" s="80" t="s">
        <v>370</v>
      </c>
      <c r="P20" s="80" t="s">
        <v>376</v>
      </c>
      <c r="Q20" s="80"/>
      <c r="R20" s="79"/>
      <c r="S20" s="81" t="s">
        <v>335</v>
      </c>
      <c r="T20" s="80"/>
      <c r="U20" s="80"/>
      <c r="V20" s="80"/>
      <c r="W20" s="79"/>
      <c r="X20" s="79"/>
      <c r="Z20" s="81" t="s">
        <v>335</v>
      </c>
      <c r="AA20" s="80" t="s">
        <v>331</v>
      </c>
      <c r="AB20" s="80" t="s">
        <v>373</v>
      </c>
      <c r="AC20" s="80" t="s">
        <v>269</v>
      </c>
      <c r="AD20" s="79"/>
      <c r="AE20" s="79" t="s">
        <v>428</v>
      </c>
    </row>
    <row r="21" spans="1:42">
      <c r="A21" s="81"/>
      <c r="B21" s="80"/>
      <c r="C21" s="80"/>
      <c r="D21" s="80"/>
      <c r="E21" s="80"/>
      <c r="F21" s="79"/>
      <c r="G21" s="81"/>
      <c r="H21" s="80"/>
      <c r="I21" s="80"/>
      <c r="J21" s="80"/>
      <c r="K21" s="80"/>
      <c r="L21" s="79"/>
      <c r="M21" s="81"/>
      <c r="N21" s="80"/>
      <c r="O21" s="80"/>
      <c r="P21" s="80"/>
      <c r="Q21" s="80"/>
      <c r="R21" s="79"/>
      <c r="S21" s="81"/>
      <c r="T21" s="80"/>
      <c r="U21" s="80"/>
      <c r="V21" s="80"/>
      <c r="W21" s="79"/>
      <c r="X21" s="79"/>
    </row>
    <row r="22" spans="1:42">
      <c r="A22" s="81"/>
      <c r="B22" s="80"/>
      <c r="C22" s="80"/>
      <c r="D22" s="80"/>
      <c r="E22" s="80"/>
      <c r="F22" s="79"/>
      <c r="G22" s="81"/>
      <c r="H22" s="80"/>
      <c r="I22" s="80"/>
      <c r="J22" s="80"/>
      <c r="K22" s="80"/>
      <c r="L22" s="79"/>
      <c r="M22" s="81"/>
      <c r="N22" s="80"/>
      <c r="O22" s="80"/>
      <c r="P22" s="80"/>
      <c r="Q22" s="80"/>
      <c r="R22" s="79"/>
      <c r="S22" s="81"/>
      <c r="T22" s="80"/>
      <c r="U22" s="80"/>
      <c r="V22" s="80"/>
      <c r="W22" s="79"/>
      <c r="X22" s="79"/>
    </row>
    <row r="23" spans="1:42">
      <c r="A23" s="145" t="s">
        <v>560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</row>
    <row r="24" spans="1:42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</row>
    <row r="25" spans="1:42">
      <c r="A25" s="79"/>
      <c r="B25" s="118" t="s">
        <v>564</v>
      </c>
      <c r="C25" s="118"/>
      <c r="D25" s="118"/>
      <c r="E25" s="80"/>
      <c r="F25" s="79"/>
      <c r="G25" s="79"/>
      <c r="H25" s="118" t="s">
        <v>564</v>
      </c>
      <c r="I25" s="118"/>
      <c r="J25" s="118"/>
      <c r="K25" s="80"/>
      <c r="L25" s="79"/>
      <c r="M25" s="79"/>
      <c r="N25" s="118" t="s">
        <v>564</v>
      </c>
      <c r="O25" s="118"/>
      <c r="P25" s="118"/>
      <c r="Q25" s="80"/>
      <c r="R25" s="79"/>
      <c r="S25" s="79"/>
      <c r="T25" s="118" t="s">
        <v>564</v>
      </c>
      <c r="U25" s="118"/>
      <c r="V25" s="118"/>
      <c r="W25" s="79"/>
      <c r="Z25" s="79"/>
      <c r="AA25" s="118"/>
      <c r="AB25" s="118"/>
      <c r="AC25" s="118"/>
      <c r="AD25" s="79"/>
    </row>
    <row r="26" spans="1:42">
      <c r="A26" s="79"/>
      <c r="B26" s="80" t="s">
        <v>334</v>
      </c>
      <c r="C26" s="80" t="s">
        <v>267</v>
      </c>
      <c r="D26" s="80" t="s">
        <v>274</v>
      </c>
      <c r="E26" s="79" t="s">
        <v>436</v>
      </c>
      <c r="F26" s="79" t="s">
        <v>437</v>
      </c>
      <c r="G26" s="79"/>
      <c r="H26" s="80" t="s">
        <v>334</v>
      </c>
      <c r="I26" s="80" t="s">
        <v>267</v>
      </c>
      <c r="J26" s="80" t="s">
        <v>274</v>
      </c>
      <c r="K26" s="79" t="s">
        <v>436</v>
      </c>
      <c r="L26" s="79" t="s">
        <v>437</v>
      </c>
      <c r="M26" s="79"/>
      <c r="N26" s="80" t="s">
        <v>334</v>
      </c>
      <c r="O26" s="80" t="s">
        <v>267</v>
      </c>
      <c r="P26" s="80" t="s">
        <v>274</v>
      </c>
      <c r="Q26" s="79" t="s">
        <v>436</v>
      </c>
      <c r="R26" s="79" t="s">
        <v>437</v>
      </c>
      <c r="S26" s="79"/>
      <c r="T26" s="80" t="s">
        <v>334</v>
      </c>
      <c r="U26" s="80" t="s">
        <v>267</v>
      </c>
      <c r="V26" s="80" t="s">
        <v>274</v>
      </c>
      <c r="W26" s="79" t="s">
        <v>436</v>
      </c>
      <c r="X26" s="79" t="s">
        <v>437</v>
      </c>
      <c r="Z26" s="79"/>
      <c r="AA26" s="80"/>
      <c r="AB26" s="80"/>
      <c r="AC26" s="80"/>
      <c r="AD26" s="79"/>
      <c r="AE26" s="79"/>
    </row>
    <row r="27" spans="1:42">
      <c r="A27" s="79">
        <v>1</v>
      </c>
      <c r="B27" s="80" t="s">
        <v>339</v>
      </c>
      <c r="C27" s="80" t="s">
        <v>259</v>
      </c>
      <c r="D27" s="80" t="s">
        <v>417</v>
      </c>
      <c r="E27" s="80" t="s">
        <v>417</v>
      </c>
      <c r="F27" s="79"/>
      <c r="G27" s="79">
        <v>1</v>
      </c>
      <c r="H27" s="80" t="s">
        <v>367</v>
      </c>
      <c r="I27" s="80" t="s">
        <v>331</v>
      </c>
      <c r="J27" s="80" t="s">
        <v>342</v>
      </c>
      <c r="K27" s="80" t="s">
        <v>367</v>
      </c>
      <c r="L27" s="79" t="s">
        <v>442</v>
      </c>
      <c r="M27" s="79">
        <v>1</v>
      </c>
      <c r="N27" s="80" t="s">
        <v>377</v>
      </c>
      <c r="O27" s="80" t="s">
        <v>392</v>
      </c>
      <c r="P27" s="80" t="s">
        <v>416</v>
      </c>
      <c r="Q27" s="80"/>
      <c r="R27" s="79"/>
      <c r="S27" s="79">
        <v>1</v>
      </c>
      <c r="T27" s="80" t="s">
        <v>435</v>
      </c>
      <c r="U27" s="80" t="s">
        <v>575</v>
      </c>
      <c r="V27" s="80" t="s">
        <v>420</v>
      </c>
      <c r="W27" s="79" t="s">
        <v>435</v>
      </c>
      <c r="X27" s="79"/>
      <c r="Y27" s="79"/>
      <c r="Z27" s="79"/>
      <c r="AA27" s="80"/>
      <c r="AB27" s="80"/>
      <c r="AC27" s="80"/>
      <c r="AD27" s="79"/>
      <c r="AE27" s="79"/>
    </row>
    <row r="28" spans="1:42">
      <c r="A28" s="79">
        <v>2</v>
      </c>
      <c r="B28" s="80" t="s">
        <v>569</v>
      </c>
      <c r="C28" s="80" t="s">
        <v>269</v>
      </c>
      <c r="D28" s="80" t="s">
        <v>343</v>
      </c>
      <c r="E28" s="80"/>
      <c r="F28" s="79"/>
      <c r="G28" s="79">
        <v>2</v>
      </c>
      <c r="H28" s="80" t="s">
        <v>419</v>
      </c>
      <c r="I28" s="80" t="s">
        <v>402</v>
      </c>
      <c r="J28" s="80" t="s">
        <v>444</v>
      </c>
      <c r="K28" s="80"/>
      <c r="L28" s="79"/>
      <c r="M28" s="79">
        <v>2</v>
      </c>
      <c r="N28" s="80" t="s">
        <v>381</v>
      </c>
      <c r="O28" s="80" t="s">
        <v>384</v>
      </c>
      <c r="P28" s="80" t="s">
        <v>395</v>
      </c>
      <c r="Q28" s="80"/>
      <c r="R28" s="79"/>
      <c r="S28" s="79">
        <v>2</v>
      </c>
      <c r="T28" s="80" t="s">
        <v>413</v>
      </c>
      <c r="U28" s="80" t="s">
        <v>443</v>
      </c>
      <c r="V28" s="80" t="s">
        <v>405</v>
      </c>
      <c r="W28" s="79"/>
      <c r="Z28" s="79"/>
      <c r="AA28" s="80"/>
      <c r="AB28" s="80"/>
      <c r="AC28" s="80"/>
      <c r="AD28" s="79"/>
    </row>
    <row r="29" spans="1:42">
      <c r="A29" s="79">
        <v>3</v>
      </c>
      <c r="B29" s="80" t="s">
        <v>372</v>
      </c>
      <c r="C29" s="80" t="s">
        <v>375</v>
      </c>
      <c r="D29" s="80" t="s">
        <v>348</v>
      </c>
      <c r="E29" s="80"/>
      <c r="F29" s="79"/>
      <c r="G29" s="79">
        <v>3</v>
      </c>
      <c r="H29" s="80" t="s">
        <v>336</v>
      </c>
      <c r="I29" s="80" t="s">
        <v>414</v>
      </c>
      <c r="J29" s="80" t="s">
        <v>363</v>
      </c>
      <c r="K29" s="80" t="s">
        <v>363</v>
      </c>
      <c r="L29" s="79"/>
      <c r="M29" s="79">
        <v>3</v>
      </c>
      <c r="N29" s="80" t="s">
        <v>379</v>
      </c>
      <c r="O29" s="80" t="s">
        <v>390</v>
      </c>
      <c r="P29" s="80" t="s">
        <v>430</v>
      </c>
      <c r="Q29" s="80"/>
      <c r="R29" s="79"/>
      <c r="S29" s="79">
        <v>3</v>
      </c>
      <c r="T29" s="80" t="s">
        <v>399</v>
      </c>
      <c r="U29" s="80" t="s">
        <v>261</v>
      </c>
      <c r="V29" s="80" t="s">
        <v>365</v>
      </c>
      <c r="W29" s="79"/>
      <c r="Z29" s="79"/>
      <c r="AA29" s="80"/>
      <c r="AB29" s="80"/>
      <c r="AC29" s="80"/>
      <c r="AD29" s="79"/>
    </row>
    <row r="30" spans="1:42">
      <c r="A30" s="79">
        <v>4</v>
      </c>
      <c r="B30" s="80" t="s">
        <v>368</v>
      </c>
      <c r="C30" s="80" t="s">
        <v>346</v>
      </c>
      <c r="D30" s="80" t="s">
        <v>394</v>
      </c>
      <c r="E30" s="80" t="s">
        <v>368</v>
      </c>
      <c r="F30" s="79"/>
      <c r="G30" s="79">
        <v>4</v>
      </c>
      <c r="H30" s="80" t="s">
        <v>401</v>
      </c>
      <c r="I30" s="80" t="s">
        <v>412</v>
      </c>
      <c r="J30" s="80" t="s">
        <v>415</v>
      </c>
      <c r="K30" s="80"/>
      <c r="L30" s="79" t="s">
        <v>349</v>
      </c>
      <c r="M30" s="79">
        <v>4</v>
      </c>
      <c r="N30" s="80" t="s">
        <v>380</v>
      </c>
      <c r="O30" s="80" t="s">
        <v>385</v>
      </c>
      <c r="P30" s="80" t="s">
        <v>383</v>
      </c>
      <c r="Q30" s="80" t="s">
        <v>385</v>
      </c>
      <c r="R30" s="79"/>
      <c r="S30" s="79">
        <v>4</v>
      </c>
      <c r="T30" s="80" t="s">
        <v>407</v>
      </c>
      <c r="U30" s="80" t="s">
        <v>373</v>
      </c>
      <c r="V30" s="80" t="s">
        <v>404</v>
      </c>
      <c r="W30" s="79" t="s">
        <v>404</v>
      </c>
      <c r="Z30" s="79"/>
      <c r="AA30" s="80"/>
      <c r="AB30" s="80"/>
      <c r="AC30" s="80"/>
      <c r="AD30" s="79"/>
    </row>
    <row r="31" spans="1:42">
      <c r="A31" s="79">
        <v>5</v>
      </c>
      <c r="B31" s="80" t="s">
        <v>340</v>
      </c>
      <c r="C31" s="80" t="s">
        <v>347</v>
      </c>
      <c r="D31" s="80" t="s">
        <v>458</v>
      </c>
      <c r="E31" s="80" t="s">
        <v>340</v>
      </c>
      <c r="F31" s="79"/>
      <c r="G31" s="79">
        <v>5</v>
      </c>
      <c r="H31" s="80" t="s">
        <v>409</v>
      </c>
      <c r="I31" s="80" t="s">
        <v>429</v>
      </c>
      <c r="J31" s="80" t="s">
        <v>422</v>
      </c>
      <c r="K31" s="80"/>
      <c r="L31" s="79"/>
      <c r="M31" s="79">
        <v>5</v>
      </c>
      <c r="N31" s="80" t="s">
        <v>427</v>
      </c>
      <c r="O31" s="80" t="s">
        <v>441</v>
      </c>
      <c r="P31" s="80" t="s">
        <v>389</v>
      </c>
      <c r="Q31" s="80" t="s">
        <v>389</v>
      </c>
      <c r="R31" s="79" t="s">
        <v>445</v>
      </c>
      <c r="S31" s="79">
        <v>5</v>
      </c>
      <c r="T31" s="80" t="s">
        <v>353</v>
      </c>
      <c r="U31" s="80" t="s">
        <v>533</v>
      </c>
      <c r="V31" s="80" t="s">
        <v>503</v>
      </c>
      <c r="W31" s="79"/>
      <c r="Z31" s="79"/>
      <c r="AA31" s="80"/>
      <c r="AB31" s="80"/>
      <c r="AC31" s="80"/>
      <c r="AD31" s="79"/>
    </row>
    <row r="32" spans="1:42">
      <c r="A32" s="81" t="s">
        <v>335</v>
      </c>
      <c r="B32" s="80" t="s">
        <v>369</v>
      </c>
      <c r="C32" s="80" t="s">
        <v>370</v>
      </c>
      <c r="D32" s="80" t="s">
        <v>376</v>
      </c>
      <c r="E32" s="80"/>
      <c r="F32" s="79"/>
      <c r="G32" s="81" t="s">
        <v>335</v>
      </c>
      <c r="H32" s="80" t="s">
        <v>397</v>
      </c>
      <c r="I32" s="80" t="s">
        <v>387</v>
      </c>
      <c r="J32" s="80" t="s">
        <v>428</v>
      </c>
      <c r="K32" s="80"/>
      <c r="L32" s="79"/>
      <c r="M32" s="81" t="s">
        <v>335</v>
      </c>
      <c r="N32" s="80" t="s">
        <v>398</v>
      </c>
      <c r="O32" s="80" t="s">
        <v>411</v>
      </c>
      <c r="P32" s="80"/>
      <c r="Q32" s="80"/>
      <c r="R32" s="79"/>
      <c r="S32" s="81" t="s">
        <v>335</v>
      </c>
      <c r="T32" s="80" t="s">
        <v>406</v>
      </c>
      <c r="U32" s="80" t="s">
        <v>362</v>
      </c>
      <c r="V32" s="80" t="s">
        <v>535</v>
      </c>
      <c r="W32" s="79"/>
      <c r="X32" s="79"/>
      <c r="Y32" s="79"/>
      <c r="Z32" s="81"/>
      <c r="AA32" s="80"/>
      <c r="AB32" s="80"/>
      <c r="AC32" s="80"/>
      <c r="AD32" s="79"/>
      <c r="AE32" s="79"/>
    </row>
    <row r="33" spans="1:24">
      <c r="A33" s="79"/>
      <c r="B33" s="80"/>
      <c r="C33" s="80"/>
      <c r="D33" s="80"/>
      <c r="E33" s="80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79"/>
      <c r="V33" s="80"/>
      <c r="W33" s="79"/>
    </row>
    <row r="34" spans="1:24">
      <c r="A34" s="79"/>
      <c r="B34" s="80"/>
      <c r="C34" s="80"/>
      <c r="D34" s="80"/>
      <c r="E34" s="80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80"/>
      <c r="V34" s="79"/>
      <c r="W34" s="79"/>
    </row>
    <row r="35" spans="1:24">
      <c r="A35" s="79"/>
      <c r="B35" s="118" t="s">
        <v>565</v>
      </c>
      <c r="C35" s="118"/>
      <c r="D35" s="118"/>
      <c r="E35" s="80" t="s">
        <v>568</v>
      </c>
      <c r="F35" s="79"/>
      <c r="G35" s="79"/>
      <c r="H35" s="118" t="s">
        <v>565</v>
      </c>
      <c r="I35" s="118"/>
      <c r="J35" s="118"/>
      <c r="K35" s="80" t="s">
        <v>566</v>
      </c>
      <c r="L35" s="79"/>
      <c r="M35" s="79"/>
      <c r="N35" s="118" t="s">
        <v>565</v>
      </c>
      <c r="O35" s="118"/>
      <c r="P35" s="118"/>
      <c r="Q35" s="80" t="s">
        <v>567</v>
      </c>
      <c r="R35" s="79"/>
      <c r="S35" s="79"/>
      <c r="T35" s="118" t="s">
        <v>565</v>
      </c>
      <c r="U35" s="118"/>
      <c r="V35" s="118"/>
      <c r="W35" s="79" t="s">
        <v>246</v>
      </c>
    </row>
    <row r="36" spans="1:24">
      <c r="A36" s="79"/>
      <c r="B36" s="80" t="s">
        <v>334</v>
      </c>
      <c r="C36" s="80" t="s">
        <v>267</v>
      </c>
      <c r="D36" s="80" t="s">
        <v>274</v>
      </c>
      <c r="E36" s="79" t="s">
        <v>436</v>
      </c>
      <c r="F36" s="79" t="s">
        <v>437</v>
      </c>
      <c r="G36" s="79"/>
      <c r="H36" s="80" t="s">
        <v>334</v>
      </c>
      <c r="I36" s="80" t="s">
        <v>267</v>
      </c>
      <c r="J36" s="80" t="s">
        <v>274</v>
      </c>
      <c r="K36" s="79" t="s">
        <v>436</v>
      </c>
      <c r="L36" s="79" t="s">
        <v>437</v>
      </c>
      <c r="M36" s="79"/>
      <c r="N36" s="80" t="s">
        <v>334</v>
      </c>
      <c r="O36" s="80" t="s">
        <v>267</v>
      </c>
      <c r="P36" s="80" t="s">
        <v>274</v>
      </c>
      <c r="Q36" s="79" t="s">
        <v>436</v>
      </c>
      <c r="R36" s="79" t="s">
        <v>437</v>
      </c>
      <c r="S36" s="79"/>
      <c r="T36" s="80" t="s">
        <v>334</v>
      </c>
      <c r="U36" s="80" t="s">
        <v>267</v>
      </c>
      <c r="V36" s="80" t="s">
        <v>274</v>
      </c>
      <c r="W36" s="79" t="s">
        <v>436</v>
      </c>
      <c r="X36" s="79" t="s">
        <v>437</v>
      </c>
    </row>
    <row r="37" spans="1:24">
      <c r="A37" s="79">
        <v>1</v>
      </c>
      <c r="B37" s="80" t="s">
        <v>336</v>
      </c>
      <c r="C37" s="80" t="s">
        <v>402</v>
      </c>
      <c r="D37" s="80" t="s">
        <v>340</v>
      </c>
      <c r="E37" s="80" t="s">
        <v>340</v>
      </c>
      <c r="F37" s="79"/>
      <c r="G37" s="79">
        <v>1</v>
      </c>
      <c r="H37" s="80" t="s">
        <v>427</v>
      </c>
      <c r="I37" s="80" t="s">
        <v>384</v>
      </c>
      <c r="J37" s="80" t="s">
        <v>417</v>
      </c>
      <c r="K37" s="80" t="s">
        <v>417</v>
      </c>
      <c r="L37" s="79" t="s">
        <v>512</v>
      </c>
      <c r="M37" s="79">
        <v>1</v>
      </c>
      <c r="N37" s="80" t="s">
        <v>457</v>
      </c>
      <c r="O37" s="80" t="s">
        <v>446</v>
      </c>
      <c r="P37" s="80" t="s">
        <v>396</v>
      </c>
      <c r="Q37" s="80"/>
      <c r="R37" s="79"/>
      <c r="S37" s="79">
        <v>1</v>
      </c>
      <c r="T37" s="80" t="s">
        <v>401</v>
      </c>
      <c r="U37" s="80" t="s">
        <v>412</v>
      </c>
      <c r="V37" s="80" t="s">
        <v>357</v>
      </c>
      <c r="W37" s="79"/>
      <c r="X37" s="79" t="s">
        <v>374</v>
      </c>
    </row>
    <row r="38" spans="1:24">
      <c r="A38" s="79">
        <v>2</v>
      </c>
      <c r="B38" s="80" t="s">
        <v>337</v>
      </c>
      <c r="C38" s="80" t="s">
        <v>454</v>
      </c>
      <c r="D38" s="80" t="s">
        <v>458</v>
      </c>
      <c r="E38" s="80"/>
      <c r="F38" s="79"/>
      <c r="G38" s="79">
        <v>2</v>
      </c>
      <c r="H38" s="80" t="s">
        <v>423</v>
      </c>
      <c r="I38" s="80" t="s">
        <v>385</v>
      </c>
      <c r="J38" s="80" t="s">
        <v>501</v>
      </c>
      <c r="K38" s="80" t="s">
        <v>385</v>
      </c>
      <c r="L38" s="79"/>
      <c r="M38" s="79">
        <v>2</v>
      </c>
      <c r="N38" s="80" t="s">
        <v>413</v>
      </c>
      <c r="O38" s="80" t="s">
        <v>392</v>
      </c>
      <c r="P38" s="80" t="s">
        <v>416</v>
      </c>
      <c r="Q38" s="80"/>
      <c r="R38" s="79"/>
      <c r="S38" s="79">
        <v>2</v>
      </c>
      <c r="T38" s="80" t="s">
        <v>398</v>
      </c>
      <c r="U38" s="80" t="s">
        <v>358</v>
      </c>
      <c r="V38" s="80" t="s">
        <v>366</v>
      </c>
      <c r="W38" s="79"/>
    </row>
    <row r="39" spans="1:24">
      <c r="A39" s="79">
        <v>3</v>
      </c>
      <c r="B39" s="80" t="s">
        <v>367</v>
      </c>
      <c r="C39" s="80" t="s">
        <v>429</v>
      </c>
      <c r="D39" s="80" t="s">
        <v>348</v>
      </c>
      <c r="E39" s="80" t="s">
        <v>367</v>
      </c>
      <c r="F39" s="79"/>
      <c r="G39" s="79">
        <v>3</v>
      </c>
      <c r="H39" s="80" t="s">
        <v>379</v>
      </c>
      <c r="I39" s="80" t="s">
        <v>266</v>
      </c>
      <c r="J39" s="80" t="s">
        <v>389</v>
      </c>
      <c r="K39" s="80" t="s">
        <v>389</v>
      </c>
      <c r="L39" s="79"/>
      <c r="M39" s="79">
        <v>3</v>
      </c>
      <c r="N39" s="80" t="s">
        <v>435</v>
      </c>
      <c r="O39" s="80" t="s">
        <v>390</v>
      </c>
      <c r="P39" s="80" t="s">
        <v>383</v>
      </c>
      <c r="Q39" s="80"/>
      <c r="R39" s="79"/>
      <c r="S39" s="79">
        <v>3</v>
      </c>
      <c r="T39" s="80" t="s">
        <v>409</v>
      </c>
      <c r="U39" s="80" t="s">
        <v>362</v>
      </c>
      <c r="V39" s="80" t="s">
        <v>365</v>
      </c>
      <c r="W39" s="79" t="s">
        <v>494</v>
      </c>
    </row>
    <row r="40" spans="1:24">
      <c r="A40" s="79">
        <v>4</v>
      </c>
      <c r="B40" s="80" t="s">
        <v>339</v>
      </c>
      <c r="C40" s="80" t="s">
        <v>346</v>
      </c>
      <c r="D40" s="80" t="s">
        <v>394</v>
      </c>
      <c r="E40" s="80"/>
      <c r="F40" s="79"/>
      <c r="G40" s="79">
        <v>4</v>
      </c>
      <c r="H40" s="80" t="s">
        <v>380</v>
      </c>
      <c r="I40" s="80" t="s">
        <v>441</v>
      </c>
      <c r="J40" s="80" t="s">
        <v>388</v>
      </c>
      <c r="K40" s="80"/>
      <c r="L40" s="79"/>
      <c r="M40" s="79">
        <v>4</v>
      </c>
      <c r="N40" s="80" t="s">
        <v>378</v>
      </c>
      <c r="O40" s="80" t="s">
        <v>363</v>
      </c>
      <c r="P40" s="80" t="s">
        <v>444</v>
      </c>
      <c r="Q40" s="80" t="s">
        <v>363</v>
      </c>
      <c r="R40" s="79"/>
      <c r="S40" s="79">
        <v>4</v>
      </c>
      <c r="T40" s="80" t="s">
        <v>353</v>
      </c>
      <c r="U40" s="80" t="s">
        <v>359</v>
      </c>
      <c r="V40" s="80" t="s">
        <v>404</v>
      </c>
      <c r="W40" s="79" t="s">
        <v>404</v>
      </c>
      <c r="X40" s="49"/>
    </row>
    <row r="41" spans="1:24">
      <c r="A41" s="79">
        <v>5</v>
      </c>
      <c r="B41" s="80" t="s">
        <v>372</v>
      </c>
      <c r="C41" s="80" t="s">
        <v>448</v>
      </c>
      <c r="D41" s="80" t="s">
        <v>342</v>
      </c>
      <c r="E41" s="80"/>
      <c r="F41" s="79"/>
      <c r="G41" s="79">
        <v>5</v>
      </c>
      <c r="H41" s="80" t="s">
        <v>502</v>
      </c>
      <c r="I41" s="80" t="s">
        <v>382</v>
      </c>
      <c r="J41" s="80" t="s">
        <v>407</v>
      </c>
      <c r="K41" s="80"/>
      <c r="L41" s="79" t="s">
        <v>503</v>
      </c>
      <c r="M41" s="79">
        <v>5</v>
      </c>
      <c r="N41" s="80" t="s">
        <v>400</v>
      </c>
      <c r="O41" s="80" t="s">
        <v>411</v>
      </c>
      <c r="P41" s="80" t="s">
        <v>403</v>
      </c>
      <c r="Q41" s="80" t="s">
        <v>403</v>
      </c>
      <c r="R41" s="79"/>
      <c r="S41" s="79">
        <v>5</v>
      </c>
      <c r="T41" s="80" t="s">
        <v>399</v>
      </c>
      <c r="U41" s="80" t="s">
        <v>410</v>
      </c>
      <c r="V41" s="80" t="s">
        <v>415</v>
      </c>
      <c r="W41" s="79"/>
    </row>
    <row r="42" spans="1:24">
      <c r="A42" s="81" t="s">
        <v>335</v>
      </c>
      <c r="B42" s="80" t="s">
        <v>419</v>
      </c>
      <c r="C42" s="80" t="s">
        <v>387</v>
      </c>
      <c r="D42" s="80" t="s">
        <v>498</v>
      </c>
      <c r="E42" s="80"/>
      <c r="F42" s="79"/>
      <c r="G42" s="81" t="s">
        <v>335</v>
      </c>
      <c r="H42" s="80" t="s">
        <v>368</v>
      </c>
      <c r="I42" s="80" t="s">
        <v>443</v>
      </c>
      <c r="J42" s="80" t="s">
        <v>343</v>
      </c>
      <c r="K42" s="80"/>
      <c r="L42" s="79"/>
      <c r="M42" s="81" t="s">
        <v>335</v>
      </c>
      <c r="N42" s="80" t="s">
        <v>369</v>
      </c>
      <c r="O42" s="80" t="s">
        <v>370</v>
      </c>
      <c r="P42" s="80" t="s">
        <v>376</v>
      </c>
      <c r="Q42" s="80"/>
      <c r="R42" s="79"/>
      <c r="S42" s="81" t="s">
        <v>335</v>
      </c>
      <c r="T42" s="80" t="s">
        <v>406</v>
      </c>
      <c r="U42" s="80" t="s">
        <v>373</v>
      </c>
      <c r="V42" s="80" t="s">
        <v>331</v>
      </c>
      <c r="W42" s="79"/>
      <c r="X42" s="79" t="s">
        <v>428</v>
      </c>
    </row>
  </sheetData>
  <mergeCells count="25">
    <mergeCell ref="AN3:AP3"/>
    <mergeCell ref="AH13:AJ13"/>
    <mergeCell ref="AN13:AP13"/>
    <mergeCell ref="B35:D35"/>
    <mergeCell ref="H35:J35"/>
    <mergeCell ref="N35:P35"/>
    <mergeCell ref="T35:V35"/>
    <mergeCell ref="AA13:AC13"/>
    <mergeCell ref="AH3:AJ3"/>
    <mergeCell ref="B13:D13"/>
    <mergeCell ref="H13:J13"/>
    <mergeCell ref="N13:P13"/>
    <mergeCell ref="T13:V13"/>
    <mergeCell ref="A23:AD24"/>
    <mergeCell ref="B25:D25"/>
    <mergeCell ref="H25:J25"/>
    <mergeCell ref="N25:P25"/>
    <mergeCell ref="T25:V25"/>
    <mergeCell ref="AA25:AC25"/>
    <mergeCell ref="A1:AD2"/>
    <mergeCell ref="B3:D3"/>
    <mergeCell ref="H3:J3"/>
    <mergeCell ref="N3:P3"/>
    <mergeCell ref="T3:V3"/>
    <mergeCell ref="AA3:AC3"/>
  </mergeCells>
  <phoneticPr fontId="9"/>
  <pageMargins left="0.7" right="0.7" top="0.75" bottom="0.75" header="0.3" footer="0.3"/>
  <pageSetup paperSize="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C04D-4191-412E-8313-22ACC4D8AFC4}">
  <dimension ref="A1:G28"/>
  <sheetViews>
    <sheetView workbookViewId="0">
      <selection activeCell="I17" sqref="I17"/>
    </sheetView>
  </sheetViews>
  <sheetFormatPr defaultColWidth="8.86328125" defaultRowHeight="14.25"/>
  <cols>
    <col min="1" max="1" width="2.796875" style="24" customWidth="1"/>
    <col min="2" max="2" width="10.33203125" style="24" bestFit="1" customWidth="1"/>
    <col min="3" max="3" width="10.6640625" style="24" customWidth="1"/>
    <col min="4" max="6" width="9.6640625" style="24" customWidth="1"/>
    <col min="7" max="7" width="40" style="24" bestFit="1" customWidth="1"/>
    <col min="8" max="16384" width="8.86328125" style="24"/>
  </cols>
  <sheetData>
    <row r="1" spans="1:7" s="28" customFormat="1" ht="15">
      <c r="A1" s="28" t="s">
        <v>202</v>
      </c>
    </row>
    <row r="2" spans="1:7" ht="15">
      <c r="B2" s="29" t="s">
        <v>201</v>
      </c>
      <c r="C2" s="29" t="s">
        <v>202</v>
      </c>
      <c r="D2" s="27" t="s">
        <v>9</v>
      </c>
      <c r="E2" s="27" t="s">
        <v>10</v>
      </c>
      <c r="F2" s="27" t="s">
        <v>184</v>
      </c>
      <c r="G2" s="29" t="s">
        <v>237</v>
      </c>
    </row>
    <row r="3" spans="1:7">
      <c r="B3" s="25" t="s">
        <v>190</v>
      </c>
      <c r="C3" s="25" t="s">
        <v>193</v>
      </c>
      <c r="D3" s="26">
        <v>0.2</v>
      </c>
      <c r="E3" s="25"/>
      <c r="F3" s="25"/>
      <c r="G3" s="25" t="s">
        <v>194</v>
      </c>
    </row>
    <row r="4" spans="1:7">
      <c r="B4" s="25" t="s">
        <v>191</v>
      </c>
      <c r="C4" s="25" t="s">
        <v>195</v>
      </c>
      <c r="D4" s="26">
        <v>0.2</v>
      </c>
      <c r="E4" s="25"/>
      <c r="F4" s="25"/>
      <c r="G4" s="25" t="s">
        <v>196</v>
      </c>
    </row>
    <row r="5" spans="1:7">
      <c r="B5" s="25" t="s">
        <v>192</v>
      </c>
      <c r="C5" s="25" t="s">
        <v>197</v>
      </c>
      <c r="D5" s="26">
        <v>0.2</v>
      </c>
      <c r="E5" s="25"/>
      <c r="F5" s="25"/>
      <c r="G5" s="25" t="s">
        <v>198</v>
      </c>
    </row>
    <row r="6" spans="1:7">
      <c r="B6" s="25" t="s">
        <v>192</v>
      </c>
      <c r="C6" s="25" t="s">
        <v>200</v>
      </c>
      <c r="D6" s="26">
        <v>0.2</v>
      </c>
      <c r="E6" s="25"/>
      <c r="F6" s="25"/>
      <c r="G6" s="25" t="s">
        <v>199</v>
      </c>
    </row>
    <row r="8" spans="1:7" ht="15">
      <c r="A8" s="28" t="s">
        <v>203</v>
      </c>
    </row>
    <row r="9" spans="1:7" ht="15">
      <c r="B9" s="29" t="s">
        <v>203</v>
      </c>
      <c r="C9" s="29" t="s">
        <v>219</v>
      </c>
      <c r="D9" s="27" t="s">
        <v>9</v>
      </c>
      <c r="E9" s="27" t="s">
        <v>10</v>
      </c>
      <c r="F9" s="27" t="s">
        <v>184</v>
      </c>
      <c r="G9" s="29" t="s">
        <v>237</v>
      </c>
    </row>
    <row r="10" spans="1:7">
      <c r="B10" s="25" t="s">
        <v>220</v>
      </c>
      <c r="C10" s="25" t="s">
        <v>204</v>
      </c>
      <c r="D10" s="25"/>
      <c r="E10" s="25"/>
      <c r="F10" s="25"/>
      <c r="G10" s="25" t="s">
        <v>222</v>
      </c>
    </row>
    <row r="11" spans="1:7">
      <c r="B11" s="25" t="s">
        <v>220</v>
      </c>
      <c r="C11" s="25" t="s">
        <v>205</v>
      </c>
      <c r="D11" s="25">
        <v>20</v>
      </c>
      <c r="E11" s="25"/>
      <c r="F11" s="25"/>
      <c r="G11" s="25" t="s">
        <v>223</v>
      </c>
    </row>
    <row r="12" spans="1:7">
      <c r="B12" s="25" t="s">
        <v>220</v>
      </c>
      <c r="C12" s="25" t="s">
        <v>206</v>
      </c>
      <c r="D12" s="25">
        <v>20</v>
      </c>
      <c r="E12" s="25"/>
      <c r="F12" s="25"/>
      <c r="G12" s="25" t="s">
        <v>224</v>
      </c>
    </row>
    <row r="13" spans="1:7">
      <c r="B13" s="25" t="s">
        <v>220</v>
      </c>
      <c r="C13" s="25" t="s">
        <v>207</v>
      </c>
      <c r="D13" s="25">
        <v>20</v>
      </c>
      <c r="E13" s="25"/>
      <c r="F13" s="25"/>
      <c r="G13" s="25" t="s">
        <v>225</v>
      </c>
    </row>
    <row r="14" spans="1:7">
      <c r="B14" s="25" t="s">
        <v>220</v>
      </c>
      <c r="C14" s="25" t="s">
        <v>208</v>
      </c>
      <c r="D14" s="25">
        <v>20</v>
      </c>
      <c r="E14" s="25"/>
      <c r="F14" s="25"/>
      <c r="G14" s="25" t="s">
        <v>226</v>
      </c>
    </row>
    <row r="15" spans="1:7">
      <c r="B15" s="25" t="s">
        <v>220</v>
      </c>
      <c r="C15" s="25" t="s">
        <v>209</v>
      </c>
      <c r="D15" s="25">
        <v>20</v>
      </c>
      <c r="E15" s="25"/>
      <c r="F15" s="25"/>
      <c r="G15" s="25" t="s">
        <v>227</v>
      </c>
    </row>
    <row r="16" spans="1:7">
      <c r="B16" s="25" t="s">
        <v>220</v>
      </c>
      <c r="C16" s="25" t="s">
        <v>210</v>
      </c>
      <c r="D16" s="25">
        <v>16</v>
      </c>
      <c r="E16" s="25"/>
      <c r="F16" s="25"/>
      <c r="G16" s="25" t="s">
        <v>231</v>
      </c>
    </row>
    <row r="17" spans="2:7">
      <c r="B17" s="25" t="s">
        <v>221</v>
      </c>
      <c r="C17" s="25" t="s">
        <v>211</v>
      </c>
      <c r="D17" s="25">
        <v>20</v>
      </c>
      <c r="E17" s="25"/>
      <c r="F17" s="25"/>
      <c r="G17" s="25" t="s">
        <v>228</v>
      </c>
    </row>
    <row r="18" spans="2:7">
      <c r="B18" s="25" t="s">
        <v>221</v>
      </c>
      <c r="C18" s="25" t="s">
        <v>212</v>
      </c>
      <c r="D18" s="25"/>
      <c r="E18" s="25"/>
      <c r="F18" s="25"/>
      <c r="G18" s="25" t="s">
        <v>229</v>
      </c>
    </row>
    <row r="19" spans="2:7">
      <c r="B19" s="25" t="s">
        <v>221</v>
      </c>
      <c r="C19" s="25" t="s">
        <v>213</v>
      </c>
      <c r="D19" s="25"/>
      <c r="E19" s="25"/>
      <c r="F19" s="25"/>
      <c r="G19" s="25" t="s">
        <v>230</v>
      </c>
    </row>
    <row r="20" spans="2:7">
      <c r="B20" s="25" t="s">
        <v>221</v>
      </c>
      <c r="C20" s="25" t="s">
        <v>214</v>
      </c>
      <c r="D20" s="25"/>
      <c r="E20" s="25"/>
      <c r="F20" s="25"/>
      <c r="G20" s="25" t="s">
        <v>232</v>
      </c>
    </row>
    <row r="21" spans="2:7">
      <c r="B21" s="25" t="s">
        <v>221</v>
      </c>
      <c r="C21" s="25" t="s">
        <v>215</v>
      </c>
      <c r="D21" s="25">
        <v>20</v>
      </c>
      <c r="E21" s="25"/>
      <c r="F21" s="25"/>
      <c r="G21" s="25" t="s">
        <v>236</v>
      </c>
    </row>
    <row r="22" spans="2:7">
      <c r="B22" s="25" t="s">
        <v>238</v>
      </c>
      <c r="C22" s="25" t="s">
        <v>216</v>
      </c>
      <c r="D22" s="25">
        <v>20</v>
      </c>
      <c r="E22" s="25"/>
      <c r="F22" s="25"/>
      <c r="G22" s="25" t="s">
        <v>233</v>
      </c>
    </row>
    <row r="23" spans="2:7">
      <c r="B23" s="25" t="s">
        <v>238</v>
      </c>
      <c r="C23" s="25" t="s">
        <v>217</v>
      </c>
      <c r="D23" s="25"/>
      <c r="E23" s="25"/>
      <c r="F23" s="25"/>
      <c r="G23" s="25" t="s">
        <v>234</v>
      </c>
    </row>
    <row r="24" spans="2:7">
      <c r="B24" s="25" t="s">
        <v>238</v>
      </c>
      <c r="C24" s="25" t="s">
        <v>218</v>
      </c>
      <c r="D24" s="25">
        <v>20</v>
      </c>
      <c r="E24" s="25"/>
      <c r="F24" s="25"/>
      <c r="G24" s="25" t="s">
        <v>235</v>
      </c>
    </row>
    <row r="25" spans="2:7">
      <c r="B25" s="25" t="s">
        <v>239</v>
      </c>
      <c r="C25" s="25" t="s">
        <v>240</v>
      </c>
      <c r="D25" s="25">
        <v>11</v>
      </c>
      <c r="E25" s="25"/>
      <c r="F25" s="25"/>
      <c r="G25" s="25" t="s">
        <v>223</v>
      </c>
    </row>
    <row r="26" spans="2:7">
      <c r="B26" s="25" t="s">
        <v>239</v>
      </c>
      <c r="C26" s="25" t="s">
        <v>241</v>
      </c>
      <c r="D26" s="25">
        <v>11</v>
      </c>
      <c r="E26" s="25"/>
      <c r="F26" s="25"/>
      <c r="G26" s="25" t="s">
        <v>222</v>
      </c>
    </row>
    <row r="27" spans="2:7">
      <c r="B27" s="25" t="s">
        <v>239</v>
      </c>
      <c r="C27" s="25" t="s">
        <v>242</v>
      </c>
      <c r="D27" s="25">
        <v>16</v>
      </c>
      <c r="E27" s="25"/>
      <c r="F27" s="25"/>
      <c r="G27" s="25" t="s">
        <v>224</v>
      </c>
    </row>
    <row r="28" spans="2:7">
      <c r="B28" s="25" t="s">
        <v>239</v>
      </c>
      <c r="C28" s="25" t="s">
        <v>243</v>
      </c>
      <c r="D28" s="25">
        <v>11</v>
      </c>
      <c r="E28" s="25"/>
      <c r="F28" s="25"/>
      <c r="G28" s="25" t="s">
        <v>225</v>
      </c>
    </row>
  </sheetData>
  <phoneticPr fontId="9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A1AA-76B9-47E9-B4FB-AB53C59403AF}">
  <dimension ref="A1:P46"/>
  <sheetViews>
    <sheetView workbookViewId="0">
      <selection activeCell="J12" sqref="J12"/>
    </sheetView>
  </sheetViews>
  <sheetFormatPr defaultRowHeight="12.75"/>
  <cols>
    <col min="6" max="8" width="8.86328125"/>
  </cols>
  <sheetData>
    <row r="1" spans="1:16" ht="17.649999999999999">
      <c r="F1" s="52" t="s">
        <v>13</v>
      </c>
      <c r="G1" s="52" t="s">
        <v>27</v>
      </c>
      <c r="H1" s="52" t="s">
        <v>22</v>
      </c>
      <c r="J1" s="52" t="s">
        <v>13</v>
      </c>
      <c r="K1" s="52" t="s">
        <v>27</v>
      </c>
      <c r="L1" s="52" t="s">
        <v>22</v>
      </c>
      <c r="N1" s="52" t="s">
        <v>13</v>
      </c>
      <c r="O1" s="52" t="s">
        <v>27</v>
      </c>
      <c r="P1" s="52" t="s">
        <v>22</v>
      </c>
    </row>
    <row r="2" spans="1:16" ht="17.649999999999999">
      <c r="A2" s="49" t="s">
        <v>245</v>
      </c>
      <c r="B2" s="51" t="s">
        <v>12</v>
      </c>
      <c r="C2" s="6" t="s">
        <v>13</v>
      </c>
      <c r="D2" s="22">
        <v>2.5</v>
      </c>
      <c r="F2" s="55" t="s">
        <v>12</v>
      </c>
      <c r="G2" s="55" t="s">
        <v>32</v>
      </c>
      <c r="H2" s="55" t="s">
        <v>21</v>
      </c>
      <c r="J2" s="54" t="s">
        <v>61</v>
      </c>
      <c r="K2" s="54" t="s">
        <v>59</v>
      </c>
      <c r="L2" s="54" t="s">
        <v>63</v>
      </c>
      <c r="N2" s="54" t="s">
        <v>148</v>
      </c>
      <c r="O2" s="54" t="s">
        <v>90</v>
      </c>
      <c r="P2" s="54" t="s">
        <v>102</v>
      </c>
    </row>
    <row r="3" spans="1:16" ht="17.649999999999999">
      <c r="A3" s="49" t="s">
        <v>245</v>
      </c>
      <c r="B3" s="51" t="s">
        <v>19</v>
      </c>
      <c r="C3" s="6" t="s">
        <v>13</v>
      </c>
      <c r="D3" s="22">
        <v>2.74</v>
      </c>
      <c r="F3" s="55" t="s">
        <v>19</v>
      </c>
      <c r="G3" s="55" t="s">
        <v>34</v>
      </c>
      <c r="H3" s="55" t="s">
        <v>29</v>
      </c>
      <c r="J3" s="54" t="s">
        <v>67</v>
      </c>
      <c r="K3" s="54" t="s">
        <v>69</v>
      </c>
      <c r="L3" s="54" t="s">
        <v>71</v>
      </c>
      <c r="N3" s="54" t="s">
        <v>140</v>
      </c>
      <c r="O3" s="54" t="s">
        <v>92</v>
      </c>
      <c r="P3" s="54" t="s">
        <v>105</v>
      </c>
    </row>
    <row r="4" spans="1:16" ht="17.649999999999999">
      <c r="A4" s="49" t="s">
        <v>245</v>
      </c>
      <c r="B4" s="51" t="s">
        <v>21</v>
      </c>
      <c r="C4" s="6" t="s">
        <v>22</v>
      </c>
      <c r="D4" s="22">
        <v>3</v>
      </c>
      <c r="F4" s="55" t="s">
        <v>45</v>
      </c>
      <c r="G4" s="55" t="s">
        <v>40</v>
      </c>
      <c r="H4" s="55" t="s">
        <v>36</v>
      </c>
      <c r="J4" s="54" t="s">
        <v>77</v>
      </c>
      <c r="K4" s="54" t="s">
        <v>73</v>
      </c>
      <c r="L4" s="54" t="s">
        <v>164</v>
      </c>
      <c r="N4" s="54" t="s">
        <v>144</v>
      </c>
      <c r="O4" s="54" t="s">
        <v>107</v>
      </c>
      <c r="P4" s="54" t="s">
        <v>113</v>
      </c>
    </row>
    <row r="5" spans="1:16" ht="17.649999999999999">
      <c r="A5" s="49" t="s">
        <v>245</v>
      </c>
      <c r="B5" s="51" t="s">
        <v>29</v>
      </c>
      <c r="C5" s="6" t="s">
        <v>22</v>
      </c>
      <c r="D5" s="22">
        <v>2.5</v>
      </c>
      <c r="F5" s="54" t="s">
        <v>137</v>
      </c>
      <c r="G5" s="54" t="s">
        <v>150</v>
      </c>
      <c r="H5" s="55" t="s">
        <v>44</v>
      </c>
      <c r="J5" s="54" t="s">
        <v>79</v>
      </c>
      <c r="K5" s="54" t="s">
        <v>75</v>
      </c>
      <c r="L5" s="54" t="s">
        <v>83</v>
      </c>
      <c r="N5" s="54" t="s">
        <v>174</v>
      </c>
      <c r="O5" s="54" t="s">
        <v>158</v>
      </c>
      <c r="P5" s="54" t="s">
        <v>136</v>
      </c>
    </row>
    <row r="6" spans="1:16" ht="17.649999999999999">
      <c r="A6" s="49" t="s">
        <v>245</v>
      </c>
      <c r="B6" s="51" t="s">
        <v>32</v>
      </c>
      <c r="C6" s="6" t="s">
        <v>27</v>
      </c>
      <c r="D6" s="22">
        <v>2.74</v>
      </c>
      <c r="F6" s="54" t="s">
        <v>139</v>
      </c>
      <c r="G6" s="54" t="s">
        <v>173</v>
      </c>
      <c r="H6" s="54" t="s">
        <v>152</v>
      </c>
      <c r="J6" s="54" t="s">
        <v>146</v>
      </c>
      <c r="K6" s="54" t="s">
        <v>57</v>
      </c>
      <c r="L6" s="54" t="s">
        <v>81</v>
      </c>
      <c r="N6" s="54" t="s">
        <v>167</v>
      </c>
      <c r="O6" s="54" t="s">
        <v>171</v>
      </c>
      <c r="P6" s="56" t="s">
        <v>112</v>
      </c>
    </row>
    <row r="7" spans="1:16" ht="17.649999999999999">
      <c r="A7" s="49" t="s">
        <v>245</v>
      </c>
      <c r="B7" s="51" t="s">
        <v>34</v>
      </c>
      <c r="C7" s="6" t="s">
        <v>27</v>
      </c>
      <c r="D7" s="22">
        <v>1.5</v>
      </c>
    </row>
    <row r="8" spans="1:16" ht="17.649999999999999">
      <c r="A8" s="49" t="s">
        <v>245</v>
      </c>
      <c r="B8" s="51" t="s">
        <v>36</v>
      </c>
      <c r="C8" s="6" t="s">
        <v>22</v>
      </c>
      <c r="D8" s="22">
        <v>2</v>
      </c>
      <c r="F8" s="54" t="s">
        <v>17</v>
      </c>
      <c r="G8" s="54" t="s">
        <v>181</v>
      </c>
      <c r="H8" s="54" t="s">
        <v>115</v>
      </c>
      <c r="J8" s="54" t="s">
        <v>132</v>
      </c>
      <c r="K8" s="54" t="s">
        <v>131</v>
      </c>
      <c r="L8" s="54" t="s">
        <v>155</v>
      </c>
      <c r="N8" s="54" t="s">
        <v>129</v>
      </c>
      <c r="O8" s="54" t="s">
        <v>121</v>
      </c>
      <c r="P8" s="54" t="s">
        <v>109</v>
      </c>
    </row>
    <row r="9" spans="1:16" ht="17.649999999999999">
      <c r="A9" s="49" t="s">
        <v>245</v>
      </c>
      <c r="B9" s="51" t="s">
        <v>40</v>
      </c>
      <c r="C9" s="6" t="s">
        <v>27</v>
      </c>
      <c r="D9" s="22">
        <v>1</v>
      </c>
    </row>
    <row r="10" spans="1:16" ht="17.649999999999999">
      <c r="A10" s="49" t="s">
        <v>245</v>
      </c>
      <c r="B10" s="51" t="s">
        <v>44</v>
      </c>
      <c r="C10" s="6" t="s">
        <v>22</v>
      </c>
      <c r="D10" s="22">
        <v>1</v>
      </c>
    </row>
    <row r="11" spans="1:16" ht="17.649999999999999">
      <c r="A11" s="49" t="s">
        <v>245</v>
      </c>
      <c r="B11" s="51" t="s">
        <v>45</v>
      </c>
      <c r="C11" s="6" t="s">
        <v>13</v>
      </c>
      <c r="D11" s="22">
        <v>2</v>
      </c>
    </row>
    <row r="12" spans="1:16" ht="17.649999999999999">
      <c r="A12" s="49" t="s">
        <v>244</v>
      </c>
      <c r="B12" s="51" t="s">
        <v>57</v>
      </c>
      <c r="C12" s="6" t="s">
        <v>27</v>
      </c>
      <c r="D12" s="22">
        <v>2.5</v>
      </c>
    </row>
    <row r="13" spans="1:16" ht="17.649999999999999">
      <c r="A13" s="49" t="s">
        <v>244</v>
      </c>
      <c r="B13" s="51" t="s">
        <v>59</v>
      </c>
      <c r="C13" s="6" t="s">
        <v>27</v>
      </c>
      <c r="D13" s="22">
        <v>2.5</v>
      </c>
    </row>
    <row r="14" spans="1:16" ht="17.649999999999999">
      <c r="A14" s="49" t="s">
        <v>244</v>
      </c>
      <c r="B14" s="51" t="s">
        <v>61</v>
      </c>
      <c r="C14" s="6" t="s">
        <v>13</v>
      </c>
      <c r="D14" s="22">
        <v>2.5</v>
      </c>
    </row>
    <row r="15" spans="1:16" ht="17.649999999999999">
      <c r="A15" s="49" t="s">
        <v>244</v>
      </c>
      <c r="B15" s="51" t="s">
        <v>63</v>
      </c>
      <c r="C15" s="6" t="s">
        <v>22</v>
      </c>
      <c r="D15" s="22">
        <v>1.5</v>
      </c>
    </row>
    <row r="16" spans="1:16" ht="17.649999999999999">
      <c r="A16" s="49" t="s">
        <v>244</v>
      </c>
      <c r="B16" s="51" t="s">
        <v>67</v>
      </c>
      <c r="C16" s="6" t="s">
        <v>13</v>
      </c>
      <c r="D16" s="22">
        <v>1</v>
      </c>
    </row>
    <row r="17" spans="1:4" ht="17.649999999999999">
      <c r="A17" s="49" t="s">
        <v>244</v>
      </c>
      <c r="B17" s="51" t="s">
        <v>69</v>
      </c>
      <c r="C17" s="6" t="s">
        <v>27</v>
      </c>
      <c r="D17" s="22">
        <v>2.5</v>
      </c>
    </row>
    <row r="18" spans="1:4" ht="17.649999999999999">
      <c r="A18" s="49" t="s">
        <v>244</v>
      </c>
      <c r="B18" s="51" t="s">
        <v>71</v>
      </c>
      <c r="C18" s="6" t="s">
        <v>22</v>
      </c>
      <c r="D18" s="22">
        <v>1.6</v>
      </c>
    </row>
    <row r="19" spans="1:4" ht="17.649999999999999">
      <c r="A19" s="49" t="s">
        <v>244</v>
      </c>
      <c r="B19" s="51" t="s">
        <v>73</v>
      </c>
      <c r="C19" s="6" t="s">
        <v>27</v>
      </c>
      <c r="D19" s="22">
        <v>2</v>
      </c>
    </row>
    <row r="20" spans="1:4" ht="17.649999999999999">
      <c r="A20" s="49" t="s">
        <v>244</v>
      </c>
      <c r="B20" s="51" t="s">
        <v>75</v>
      </c>
      <c r="C20" s="6" t="s">
        <v>27</v>
      </c>
      <c r="D20" s="22">
        <v>2.7</v>
      </c>
    </row>
    <row r="21" spans="1:4" ht="17.649999999999999">
      <c r="A21" s="49" t="s">
        <v>244</v>
      </c>
      <c r="B21" s="51" t="s">
        <v>77</v>
      </c>
      <c r="C21" s="6" t="s">
        <v>13</v>
      </c>
      <c r="D21" s="22">
        <v>1</v>
      </c>
    </row>
    <row r="22" spans="1:4" ht="17.649999999999999">
      <c r="A22" s="49" t="s">
        <v>244</v>
      </c>
      <c r="B22" s="51" t="s">
        <v>79</v>
      </c>
      <c r="C22" s="6" t="s">
        <v>13</v>
      </c>
      <c r="D22" s="22">
        <v>2</v>
      </c>
    </row>
    <row r="23" spans="1:4" ht="17.649999999999999">
      <c r="A23" s="49" t="s">
        <v>244</v>
      </c>
      <c r="B23" s="51" t="s">
        <v>81</v>
      </c>
      <c r="C23" s="6" t="s">
        <v>22</v>
      </c>
      <c r="D23" s="22">
        <v>1</v>
      </c>
    </row>
    <row r="24" spans="1:4" ht="17.649999999999999">
      <c r="A24" s="49" t="s">
        <v>244</v>
      </c>
      <c r="B24" s="51" t="s">
        <v>83</v>
      </c>
      <c r="C24" s="6" t="s">
        <v>22</v>
      </c>
      <c r="D24" s="22">
        <v>1.39</v>
      </c>
    </row>
    <row r="25" spans="1:4" ht="17.649999999999999">
      <c r="A25" s="49" t="s">
        <v>246</v>
      </c>
      <c r="B25" s="51" t="s">
        <v>90</v>
      </c>
      <c r="C25" s="6" t="s">
        <v>27</v>
      </c>
      <c r="D25" s="22">
        <v>3</v>
      </c>
    </row>
    <row r="26" spans="1:4" ht="17.649999999999999">
      <c r="A26" s="49" t="s">
        <v>246</v>
      </c>
      <c r="B26" s="51" t="s">
        <v>92</v>
      </c>
      <c r="C26" s="6" t="s">
        <v>27</v>
      </c>
      <c r="D26" s="22">
        <v>1.33</v>
      </c>
    </row>
    <row r="27" spans="1:4" ht="17.649999999999999">
      <c r="A27" s="49" t="s">
        <v>246</v>
      </c>
      <c r="B27" s="51" t="s">
        <v>102</v>
      </c>
      <c r="C27" s="6" t="s">
        <v>22</v>
      </c>
      <c r="D27" s="22">
        <v>2</v>
      </c>
    </row>
    <row r="28" spans="1:4" ht="17.649999999999999">
      <c r="A28" s="49" t="s">
        <v>246</v>
      </c>
      <c r="B28" s="51" t="s">
        <v>105</v>
      </c>
      <c r="C28" s="6" t="s">
        <v>22</v>
      </c>
      <c r="D28" s="22">
        <v>2</v>
      </c>
    </row>
    <row r="29" spans="1:4" ht="17.649999999999999">
      <c r="A29" s="49" t="s">
        <v>246</v>
      </c>
      <c r="B29" s="51" t="s">
        <v>107</v>
      </c>
      <c r="C29" s="6" t="s">
        <v>27</v>
      </c>
      <c r="D29" s="22">
        <v>2.74</v>
      </c>
    </row>
    <row r="30" spans="1:4" ht="17.649999999999999">
      <c r="A30" s="49" t="s">
        <v>246</v>
      </c>
      <c r="B30" s="53" t="s">
        <v>112</v>
      </c>
      <c r="C30" s="16" t="s">
        <v>27</v>
      </c>
      <c r="D30" s="17">
        <v>1.39</v>
      </c>
    </row>
    <row r="31" spans="1:4" ht="17.649999999999999">
      <c r="A31" s="49" t="s">
        <v>246</v>
      </c>
      <c r="B31" s="51" t="s">
        <v>113</v>
      </c>
      <c r="C31" s="6" t="s">
        <v>22</v>
      </c>
      <c r="D31" s="22">
        <v>1</v>
      </c>
    </row>
    <row r="32" spans="1:4" ht="17.649999999999999">
      <c r="A32" s="50" t="s">
        <v>247</v>
      </c>
      <c r="B32" s="54" t="s">
        <v>136</v>
      </c>
      <c r="C32" s="6" t="s">
        <v>22</v>
      </c>
      <c r="D32" s="22">
        <v>1</v>
      </c>
    </row>
    <row r="33" spans="1:4" ht="17.649999999999999">
      <c r="A33" s="50" t="s">
        <v>247</v>
      </c>
      <c r="B33" s="51" t="s">
        <v>137</v>
      </c>
      <c r="C33" s="6" t="s">
        <v>13</v>
      </c>
      <c r="D33" s="22">
        <v>3</v>
      </c>
    </row>
    <row r="34" spans="1:4" ht="17.649999999999999">
      <c r="A34" s="50" t="s">
        <v>247</v>
      </c>
      <c r="B34" s="54" t="s">
        <v>139</v>
      </c>
      <c r="C34" s="6" t="s">
        <v>13</v>
      </c>
      <c r="D34" s="22">
        <v>3</v>
      </c>
    </row>
    <row r="35" spans="1:4" ht="17.649999999999999">
      <c r="A35" s="50" t="s">
        <v>247</v>
      </c>
      <c r="B35" s="54" t="s">
        <v>140</v>
      </c>
      <c r="C35" s="6" t="s">
        <v>13</v>
      </c>
      <c r="D35" s="22">
        <v>3</v>
      </c>
    </row>
    <row r="36" spans="1:4" ht="17.649999999999999">
      <c r="A36" s="50" t="s">
        <v>247</v>
      </c>
      <c r="B36" s="54" t="s">
        <v>144</v>
      </c>
      <c r="C36" s="6" t="s">
        <v>13</v>
      </c>
      <c r="D36" s="22">
        <v>2.5</v>
      </c>
    </row>
    <row r="37" spans="1:4" ht="17.649999999999999">
      <c r="A37" s="50" t="s">
        <v>247</v>
      </c>
      <c r="B37" s="54" t="s">
        <v>146</v>
      </c>
      <c r="C37" s="6" t="s">
        <v>13</v>
      </c>
      <c r="D37" s="22">
        <v>2.5</v>
      </c>
    </row>
    <row r="38" spans="1:4" ht="17.649999999999999">
      <c r="A38" s="50" t="s">
        <v>247</v>
      </c>
      <c r="B38" s="54" t="s">
        <v>148</v>
      </c>
      <c r="C38" s="6" t="s">
        <v>13</v>
      </c>
      <c r="D38" s="22">
        <v>2.08</v>
      </c>
    </row>
    <row r="39" spans="1:4" ht="17.649999999999999">
      <c r="A39" s="50" t="s">
        <v>247</v>
      </c>
      <c r="B39" s="54" t="s">
        <v>150</v>
      </c>
      <c r="C39" s="6" t="s">
        <v>27</v>
      </c>
      <c r="D39" s="22">
        <v>3.29</v>
      </c>
    </row>
    <row r="40" spans="1:4" ht="17.649999999999999">
      <c r="A40" s="50" t="s">
        <v>247</v>
      </c>
      <c r="B40" s="6" t="s">
        <v>152</v>
      </c>
      <c r="C40" s="6" t="s">
        <v>22</v>
      </c>
      <c r="D40" s="22">
        <v>3</v>
      </c>
    </row>
    <row r="41" spans="1:4" ht="17.649999999999999">
      <c r="A41" s="50" t="s">
        <v>247</v>
      </c>
      <c r="B41" s="54" t="s">
        <v>158</v>
      </c>
      <c r="C41" s="6" t="s">
        <v>27</v>
      </c>
      <c r="D41" s="22">
        <v>1</v>
      </c>
    </row>
    <row r="42" spans="1:4" ht="17.649999999999999">
      <c r="A42" s="50" t="s">
        <v>247</v>
      </c>
      <c r="B42" s="54" t="s">
        <v>164</v>
      </c>
      <c r="C42" s="23" t="s">
        <v>165</v>
      </c>
      <c r="D42" s="22">
        <v>1.25</v>
      </c>
    </row>
    <row r="43" spans="1:4" ht="17.649999999999999">
      <c r="A43" s="50" t="s">
        <v>247</v>
      </c>
      <c r="B43" s="54" t="s">
        <v>167</v>
      </c>
      <c r="C43" s="6" t="s">
        <v>13</v>
      </c>
      <c r="D43" s="22">
        <v>4.17</v>
      </c>
    </row>
    <row r="44" spans="1:4" ht="17.649999999999999">
      <c r="A44" s="50" t="s">
        <v>247</v>
      </c>
      <c r="B44" s="6" t="s">
        <v>171</v>
      </c>
      <c r="C44" s="6" t="s">
        <v>27</v>
      </c>
      <c r="D44" s="22">
        <v>3.29</v>
      </c>
    </row>
    <row r="45" spans="1:4" ht="17.649999999999999">
      <c r="A45" s="50" t="s">
        <v>247</v>
      </c>
      <c r="B45" s="6" t="s">
        <v>173</v>
      </c>
      <c r="C45" s="6" t="s">
        <v>27</v>
      </c>
      <c r="D45" s="22">
        <v>1</v>
      </c>
    </row>
    <row r="46" spans="1:4" ht="17.649999999999999">
      <c r="B46" s="54" t="s">
        <v>174</v>
      </c>
      <c r="C46" s="6" t="s">
        <v>13</v>
      </c>
      <c r="D46" s="22">
        <v>1.5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</vt:i4>
      </vt:variant>
    </vt:vector>
  </HeadingPairs>
  <TitlesOfParts>
    <vt:vector size="21" baseType="lpstr">
      <vt:lpstr>武将</vt:lpstr>
      <vt:lpstr>武将複数</vt:lpstr>
      <vt:lpstr>Sheet3</vt:lpstr>
      <vt:lpstr>Sheet5</vt:lpstr>
      <vt:lpstr>すえいまひな</vt:lpstr>
      <vt:lpstr>神A盛倉 (2)</vt:lpstr>
      <vt:lpstr>神A盛倉</vt:lpstr>
      <vt:lpstr>Sheet2</vt:lpstr>
      <vt:lpstr>あらともてつ</vt:lpstr>
      <vt:lpstr>あら中斗</vt:lpstr>
      <vt:lpstr>青ナギ</vt:lpstr>
      <vt:lpstr>集結</vt:lpstr>
      <vt:lpstr>Sheet4</vt:lpstr>
      <vt:lpstr>毘斗</vt:lpstr>
      <vt:lpstr>あら哲hisa</vt:lpstr>
      <vt:lpstr>斗毘A</vt:lpstr>
      <vt:lpstr>陣法</vt:lpstr>
      <vt:lpstr>Sheet1</vt:lpstr>
      <vt:lpstr>あら哲hisa!Print_Area</vt:lpstr>
      <vt:lpstr>集結!Print_Area</vt:lpstr>
      <vt:lpstr>毘斗!Print_Area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2026-05-09T04:37:44Z</dcterms:created>
  <dcterms:modified xsi:type="dcterms:W3CDTF">2026-05-09T04:38:27Z</dcterms:modified>
</cp:coreProperties>
</file>